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Z:\Rubetek_Project (2)\г.п. Новоселье\Рабочая\"/>
    </mc:Choice>
  </mc:AlternateContent>
  <xr:revisionPtr revIDLastSave="0" documentId="13_ncr:1_{523A2C77-8FED-468C-AC85-AE40F78F8D3F}" xr6:coauthVersionLast="36" xr6:coauthVersionMax="47" xr10:uidLastSave="{00000000-0000-0000-0000-000000000000}"/>
  <bookViews>
    <workbookView xWindow="23880" yWindow="-120" windowWidth="38640" windowHeight="21240" activeTab="3" xr2:uid="{00000000-000D-0000-FFFF-FFFF00000000}"/>
  </bookViews>
  <sheets>
    <sheet name="Расчет АКБ_Пр" sheetId="1" r:id="rId1"/>
    <sheet name="Расчет АКБ (АПС 2.0)_Пр" sheetId="2" r:id="rId2"/>
    <sheet name="Расчет АКБ_Ра" sheetId="3" r:id="rId3"/>
    <sheet name="Расчет АКБ (АПС 2.0)_Ра" sheetId="4" r:id="rId4"/>
    <sheet name="Расчет АКБ_Гиб" sheetId="5" r:id="rId5"/>
    <sheet name="Расчет АКБ (АПС 2.0)_Гиб" sheetId="6" r:id="rId6"/>
  </sheets>
  <calcPr calcId="191029"/>
  <extLst>
    <ext uri="GoogleSheetsCustomDataVersion2">
      <go:sheetsCustomData xmlns:go="http://customooxmlschemas.google.com/" r:id="rId10" roundtripDataChecksum="XK379JNrrt7rHb6vnEK1J4KDi/e7FpNl5p95NBGduFk="/>
    </ext>
  </extLst>
</workbook>
</file>

<file path=xl/calcChain.xml><?xml version="1.0" encoding="utf-8"?>
<calcChain xmlns="http://schemas.openxmlformats.org/spreadsheetml/2006/main">
  <c r="S65" i="1" l="1"/>
  <c r="Q65" i="1"/>
  <c r="G65" i="1"/>
  <c r="E65" i="1"/>
  <c r="S64" i="1"/>
  <c r="Q64" i="1"/>
  <c r="G64" i="1"/>
  <c r="E64" i="1"/>
  <c r="S63" i="1"/>
  <c r="Q63" i="1"/>
  <c r="G63" i="1"/>
  <c r="E63" i="1"/>
  <c r="S62" i="1"/>
  <c r="Q62" i="1"/>
  <c r="G62" i="1"/>
  <c r="E62" i="1"/>
  <c r="S61" i="1"/>
  <c r="Q61" i="1"/>
  <c r="G61" i="1"/>
  <c r="E61" i="1"/>
  <c r="S60" i="1"/>
  <c r="Q60" i="1"/>
  <c r="G60" i="1"/>
  <c r="E60" i="1"/>
  <c r="S59" i="1"/>
  <c r="Q59" i="1"/>
  <c r="G59" i="1"/>
  <c r="E59" i="1"/>
  <c r="S58" i="1"/>
  <c r="Q58" i="1"/>
  <c r="G58" i="1"/>
  <c r="E58" i="1"/>
  <c r="S57" i="1"/>
  <c r="Q57" i="1"/>
  <c r="G57" i="1"/>
  <c r="E57" i="1"/>
  <c r="S56" i="1"/>
  <c r="Q56" i="1"/>
  <c r="G56" i="1"/>
  <c r="E56" i="1"/>
  <c r="S55" i="1"/>
  <c r="Q55" i="1"/>
  <c r="G55" i="1"/>
  <c r="E55" i="1"/>
  <c r="S54" i="1"/>
  <c r="Q54" i="1"/>
  <c r="G54" i="1"/>
  <c r="E54" i="1"/>
  <c r="S53" i="1"/>
  <c r="Q53" i="1"/>
  <c r="G53" i="1"/>
  <c r="E53" i="1"/>
  <c r="S52" i="1"/>
  <c r="Q52" i="1"/>
  <c r="G52" i="1"/>
  <c r="E52" i="1"/>
  <c r="S51" i="1"/>
  <c r="Q51" i="1"/>
  <c r="G51" i="1"/>
  <c r="E51" i="1"/>
  <c r="S50" i="1"/>
  <c r="Q50" i="1"/>
  <c r="G50" i="1"/>
  <c r="E50" i="1"/>
  <c r="S49" i="1"/>
  <c r="Q49" i="1"/>
  <c r="G49" i="1"/>
  <c r="E49" i="1"/>
  <c r="S48" i="1"/>
  <c r="Q48" i="1"/>
  <c r="G48" i="1"/>
  <c r="E48" i="1"/>
  <c r="S47" i="1"/>
  <c r="Q47" i="1"/>
  <c r="G47" i="1"/>
  <c r="E47" i="1"/>
  <c r="S46" i="1"/>
  <c r="Q46" i="1"/>
  <c r="G46" i="1"/>
  <c r="E46" i="1"/>
  <c r="S45" i="1"/>
  <c r="Q45" i="1"/>
  <c r="G45" i="1"/>
  <c r="E45" i="1"/>
  <c r="S44" i="1"/>
  <c r="Q44" i="1"/>
  <c r="G44" i="1"/>
  <c r="E44" i="1"/>
  <c r="S43" i="1"/>
  <c r="Q43" i="1"/>
  <c r="G43" i="1"/>
  <c r="E43" i="1"/>
  <c r="S42" i="1"/>
  <c r="Q42" i="1"/>
  <c r="G42" i="1"/>
  <c r="E42" i="1"/>
  <c r="S28" i="1"/>
  <c r="Q28" i="1"/>
  <c r="S27" i="1"/>
  <c r="Q27" i="1"/>
  <c r="S26" i="1"/>
  <c r="Q26" i="1"/>
  <c r="S25" i="1"/>
  <c r="Q25" i="1"/>
  <c r="S24" i="1"/>
  <c r="Q24" i="1"/>
  <c r="S23" i="1"/>
  <c r="Q23" i="1"/>
  <c r="S22" i="1"/>
  <c r="Q22" i="1"/>
  <c r="S21" i="1"/>
  <c r="Q21" i="1"/>
  <c r="S20" i="1"/>
  <c r="Q20" i="1"/>
  <c r="S19" i="1"/>
  <c r="Q19" i="1"/>
  <c r="S18" i="1"/>
  <c r="Q18" i="1"/>
  <c r="S17" i="1"/>
  <c r="Q17" i="1"/>
  <c r="S16" i="1"/>
  <c r="Q16" i="1"/>
  <c r="S15" i="1"/>
  <c r="Q15" i="1"/>
  <c r="S14" i="1"/>
  <c r="Q14" i="1"/>
  <c r="S13" i="1"/>
  <c r="Q13" i="1"/>
  <c r="S12" i="1"/>
  <c r="Q12" i="1"/>
  <c r="S11" i="1"/>
  <c r="Q11" i="1"/>
  <c r="S10" i="1"/>
  <c r="Q10" i="1"/>
  <c r="S9" i="1"/>
  <c r="Q9" i="1"/>
  <c r="S8" i="1"/>
  <c r="Q8" i="1"/>
  <c r="S7" i="1"/>
  <c r="Q7" i="1"/>
  <c r="S6" i="1"/>
  <c r="Q6" i="1"/>
  <c r="S5" i="1"/>
  <c r="Q5" i="1"/>
  <c r="Q66" i="1" l="1"/>
  <c r="Q67" i="1" s="1"/>
  <c r="S73" i="1" s="1"/>
  <c r="T73" i="1" s="1"/>
  <c r="S66" i="1"/>
  <c r="S67" i="1" s="1"/>
  <c r="T67" i="1" s="1"/>
  <c r="E66" i="1"/>
  <c r="E67" i="1" s="1"/>
  <c r="G66" i="1"/>
  <c r="G67" i="1" s="1"/>
  <c r="H67" i="1" s="1"/>
  <c r="G25" i="1"/>
  <c r="E25" i="1"/>
  <c r="S72" i="1" l="1"/>
  <c r="T72" i="1" s="1"/>
  <c r="G73" i="1"/>
  <c r="H73" i="1" s="1"/>
  <c r="G72" i="1"/>
  <c r="H72" i="1" s="1"/>
  <c r="G24" i="6"/>
  <c r="E24" i="6"/>
  <c r="G23" i="6"/>
  <c r="E23" i="6"/>
  <c r="G22" i="6"/>
  <c r="E22" i="6"/>
  <c r="G21" i="6"/>
  <c r="E21" i="6"/>
  <c r="G20" i="6"/>
  <c r="E20" i="6"/>
  <c r="G19" i="6"/>
  <c r="E19" i="6"/>
  <c r="G18" i="6"/>
  <c r="E18" i="6"/>
  <c r="G17" i="6"/>
  <c r="E17" i="6"/>
  <c r="G16" i="6"/>
  <c r="E16" i="6"/>
  <c r="G15" i="6"/>
  <c r="E15" i="6"/>
  <c r="G14" i="6"/>
  <c r="E14" i="6"/>
  <c r="G13" i="6"/>
  <c r="E13" i="6"/>
  <c r="G12" i="6"/>
  <c r="E12" i="6"/>
  <c r="G11" i="6"/>
  <c r="E11" i="6"/>
  <c r="G10" i="6"/>
  <c r="E10" i="6"/>
  <c r="G9" i="6"/>
  <c r="E9" i="6"/>
  <c r="G8" i="6"/>
  <c r="E8" i="6"/>
  <c r="G7" i="6"/>
  <c r="E7" i="6"/>
  <c r="G6" i="6"/>
  <c r="E6" i="6"/>
  <c r="G5" i="6"/>
  <c r="E5" i="6"/>
  <c r="G20" i="5"/>
  <c r="E20" i="5"/>
  <c r="G19" i="5"/>
  <c r="E19" i="5"/>
  <c r="G18" i="5"/>
  <c r="E18" i="5"/>
  <c r="G17" i="5"/>
  <c r="E17" i="5"/>
  <c r="G16" i="5"/>
  <c r="E16" i="5"/>
  <c r="G15" i="5"/>
  <c r="E15" i="5"/>
  <c r="G14" i="5"/>
  <c r="E14" i="5"/>
  <c r="G13" i="5"/>
  <c r="E13" i="5"/>
  <c r="G12" i="5"/>
  <c r="E12" i="5"/>
  <c r="G11" i="5"/>
  <c r="E11" i="5"/>
  <c r="G10" i="5"/>
  <c r="E10" i="5"/>
  <c r="G9" i="5"/>
  <c r="E9" i="5"/>
  <c r="E21" i="5" s="1"/>
  <c r="E22" i="5" s="1"/>
  <c r="G27" i="5" s="1"/>
  <c r="G8" i="5"/>
  <c r="E8" i="5"/>
  <c r="G7" i="5"/>
  <c r="E7" i="5"/>
  <c r="G6" i="5"/>
  <c r="G21" i="5" s="1"/>
  <c r="G22" i="5" s="1"/>
  <c r="H22" i="5" s="1"/>
  <c r="E6" i="5"/>
  <c r="G5" i="5"/>
  <c r="E5" i="5"/>
  <c r="G24" i="4"/>
  <c r="E24" i="4"/>
  <c r="G23" i="4"/>
  <c r="E23" i="4"/>
  <c r="G22" i="4"/>
  <c r="E22" i="4"/>
  <c r="G21" i="4"/>
  <c r="E21" i="4"/>
  <c r="G20" i="4"/>
  <c r="E20" i="4"/>
  <c r="G19" i="4"/>
  <c r="E19" i="4"/>
  <c r="G18" i="4"/>
  <c r="E18" i="4"/>
  <c r="G17" i="4"/>
  <c r="E17" i="4"/>
  <c r="G16" i="4"/>
  <c r="E16" i="4"/>
  <c r="G15" i="4"/>
  <c r="E15" i="4"/>
  <c r="G14" i="4"/>
  <c r="E14" i="4"/>
  <c r="G13" i="4"/>
  <c r="E13" i="4"/>
  <c r="G12" i="4"/>
  <c r="E12" i="4"/>
  <c r="G11" i="4"/>
  <c r="E11" i="4"/>
  <c r="G10" i="4"/>
  <c r="E10" i="4"/>
  <c r="G9" i="4"/>
  <c r="E9" i="4"/>
  <c r="G8" i="4"/>
  <c r="E8" i="4"/>
  <c r="G7" i="4"/>
  <c r="E7" i="4"/>
  <c r="G6" i="4"/>
  <c r="E6" i="4"/>
  <c r="G5" i="4"/>
  <c r="E5" i="4"/>
  <c r="G20" i="3"/>
  <c r="E20" i="3"/>
  <c r="G19" i="3"/>
  <c r="E19" i="3"/>
  <c r="G18" i="3"/>
  <c r="E18" i="3"/>
  <c r="G17" i="3"/>
  <c r="E17" i="3"/>
  <c r="G16" i="3"/>
  <c r="E16" i="3"/>
  <c r="G15" i="3"/>
  <c r="E15" i="3"/>
  <c r="G14" i="3"/>
  <c r="E14" i="3"/>
  <c r="G13" i="3"/>
  <c r="E13" i="3"/>
  <c r="G12" i="3"/>
  <c r="E12" i="3"/>
  <c r="G11" i="3"/>
  <c r="E11" i="3"/>
  <c r="G10" i="3"/>
  <c r="E10" i="3"/>
  <c r="G9" i="3"/>
  <c r="E9" i="3"/>
  <c r="E21" i="3" s="1"/>
  <c r="E22" i="3" s="1"/>
  <c r="G27" i="3" s="1"/>
  <c r="G8" i="3"/>
  <c r="E8" i="3"/>
  <c r="G7" i="3"/>
  <c r="E7" i="3"/>
  <c r="G6" i="3"/>
  <c r="G21" i="3" s="1"/>
  <c r="G22" i="3" s="1"/>
  <c r="H22" i="3" s="1"/>
  <c r="E6" i="3"/>
  <c r="G5" i="3"/>
  <c r="E5" i="3"/>
  <c r="G24" i="2"/>
  <c r="E24" i="2"/>
  <c r="G23" i="2"/>
  <c r="E23" i="2"/>
  <c r="G22" i="2"/>
  <c r="E22" i="2"/>
  <c r="G21" i="2"/>
  <c r="E21" i="2"/>
  <c r="G20" i="2"/>
  <c r="E20" i="2"/>
  <c r="G19" i="2"/>
  <c r="E19" i="2"/>
  <c r="G18" i="2"/>
  <c r="E18" i="2"/>
  <c r="G17" i="2"/>
  <c r="E17" i="2"/>
  <c r="G16" i="2"/>
  <c r="E16" i="2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G6" i="2"/>
  <c r="E6" i="2"/>
  <c r="G5" i="2"/>
  <c r="E5" i="2"/>
  <c r="G28" i="1"/>
  <c r="E28" i="1"/>
  <c r="G27" i="1"/>
  <c r="E27" i="1"/>
  <c r="G26" i="1"/>
  <c r="E26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G9" i="1"/>
  <c r="E9" i="1"/>
  <c r="G8" i="1"/>
  <c r="E8" i="1"/>
  <c r="G7" i="1"/>
  <c r="E7" i="1"/>
  <c r="G6" i="1"/>
  <c r="E6" i="1"/>
  <c r="G5" i="1"/>
  <c r="E5" i="1"/>
  <c r="E25" i="4" l="1"/>
  <c r="E26" i="4" s="1"/>
  <c r="G25" i="2"/>
  <c r="G26" i="2" s="1"/>
  <c r="H26" i="2" s="1"/>
  <c r="E25" i="2"/>
  <c r="E26" i="2" s="1"/>
  <c r="G25" i="4"/>
  <c r="G26" i="4" s="1"/>
  <c r="H26" i="4" s="1"/>
  <c r="E25" i="6"/>
  <c r="E26" i="6" s="1"/>
  <c r="G25" i="6"/>
  <c r="G26" i="6" s="1"/>
  <c r="H26" i="6" s="1"/>
  <c r="Q29" i="1"/>
  <c r="Q30" i="1" s="1"/>
  <c r="S29" i="1"/>
  <c r="S30" i="1" s="1"/>
  <c r="T30" i="1" s="1"/>
  <c r="G29" i="1"/>
  <c r="G30" i="1" s="1"/>
  <c r="H30" i="1" s="1"/>
  <c r="E29" i="1"/>
  <c r="E30" i="1" s="1"/>
  <c r="G31" i="2" l="1"/>
  <c r="G31" i="4"/>
  <c r="G31" i="6"/>
  <c r="S36" i="1"/>
  <c r="T36" i="1" s="1"/>
  <c r="S35" i="1"/>
  <c r="T35" i="1" s="1"/>
  <c r="G36" i="1"/>
  <c r="H36" i="1" s="1"/>
  <c r="G35" i="1"/>
  <c r="H35" i="1" s="1"/>
</calcChain>
</file>

<file path=xl/sharedStrings.xml><?xml version="1.0" encoding="utf-8"?>
<sst xmlns="http://schemas.openxmlformats.org/spreadsheetml/2006/main" count="369" uniqueCount="71">
  <si>
    <t>Для АКБ и СОУЭ</t>
  </si>
  <si>
    <t>Режим</t>
  </si>
  <si>
    <t>Дежурный</t>
  </si>
  <si>
    <t>Тревожный</t>
  </si>
  <si>
    <t>№</t>
  </si>
  <si>
    <t>Наименование</t>
  </si>
  <si>
    <t>Кол.</t>
  </si>
  <si>
    <t>Iдеж, мА</t>
  </si>
  <si>
    <t>∑ Iдеж, мА</t>
  </si>
  <si>
    <t>Ток, мА</t>
  </si>
  <si>
    <t>∑ Ток, мА</t>
  </si>
  <si>
    <t>МПИ-20</t>
  </si>
  <si>
    <t>КС-02-250</t>
  </si>
  <si>
    <t>ППК-02-250</t>
  </si>
  <si>
    <t>ИП 212-102</t>
  </si>
  <si>
    <t>ИП 513-102</t>
  </si>
  <si>
    <t>УДП-513-102 (П)</t>
  </si>
  <si>
    <t>УДП-513-102 (Д)</t>
  </si>
  <si>
    <t>РР-02-250</t>
  </si>
  <si>
    <t>БИ-04</t>
  </si>
  <si>
    <t>АМР-4</t>
  </si>
  <si>
    <t>АР-1</t>
  </si>
  <si>
    <t>МР-1</t>
  </si>
  <si>
    <t>МР-4</t>
  </si>
  <si>
    <t>МДА-101 исп.1</t>
  </si>
  <si>
    <t>Маяк-24-3М1</t>
  </si>
  <si>
    <t>Маяк-24-3М</t>
  </si>
  <si>
    <t>Маяк-24-КП</t>
  </si>
  <si>
    <t>Маяк-24-СТ</t>
  </si>
  <si>
    <t>Молния-24 "Выход"</t>
  </si>
  <si>
    <t>RA-20</t>
  </si>
  <si>
    <t>RA-30</t>
  </si>
  <si>
    <t>ИП 101-102-A1R</t>
  </si>
  <si>
    <t>Итого ∑I, мА:</t>
  </si>
  <si>
    <t>Итого ∑I, А:</t>
  </si>
  <si>
    <t>Требуемая емкость аккумулятора (Ач):</t>
  </si>
  <si>
    <t xml:space="preserve"> Wтреб(Ач) = ∑ Iдеж * 1ч + ∑ Iтр * 1ч &lt; Wном.               </t>
  </si>
  <si>
    <t>Wтреб = А * 1ч + А * 1ч = 27,79 Ач</t>
  </si>
  <si>
    <t>ИВЭПР 24/5 исп. 2×17-Р БР + 2 х SF1217 (12В, 17Ач) x4</t>
  </si>
  <si>
    <t>Wтреб(Ач) &lt; Wном(Ач). ; 27,79 Ач &lt; 60 Ач</t>
  </si>
  <si>
    <t>Требуемая емкость аккумулятора 1 ч (А*ч):</t>
  </si>
  <si>
    <t>Требуемая емкость аккумулятора 24+1 (А*ч):</t>
  </si>
  <si>
    <t>Секция 7</t>
  </si>
  <si>
    <t xml:space="preserve">ИП-101-110-А1R </t>
  </si>
  <si>
    <t>МДА-101</t>
  </si>
  <si>
    <t xml:space="preserve">Молния-24 "Пожар" </t>
  </si>
  <si>
    <r>
      <rPr>
        <sz val="10"/>
        <color theme="1"/>
        <rFont val="ISOCPEUR"/>
        <family val="2"/>
        <charset val="204"/>
      </rPr>
      <t>Итого ∑</t>
    </r>
    <r>
      <rPr>
        <sz val="10"/>
        <color theme="1"/>
        <rFont val="Calibri"/>
        <family val="2"/>
        <charset val="204"/>
      </rPr>
      <t>I</t>
    </r>
    <r>
      <rPr>
        <sz val="10"/>
        <color theme="1"/>
        <rFont val="ISOCPEUR"/>
        <family val="2"/>
        <charset val="204"/>
      </rPr>
      <t>, мА:</t>
    </r>
  </si>
  <si>
    <r>
      <rPr>
        <sz val="10"/>
        <color theme="1"/>
        <rFont val="ISOCPEUR"/>
        <family val="2"/>
        <charset val="204"/>
      </rPr>
      <t>Итого ∑</t>
    </r>
    <r>
      <rPr>
        <sz val="10"/>
        <color theme="1"/>
        <rFont val="Calibri"/>
        <family val="2"/>
        <charset val="204"/>
      </rPr>
      <t>I</t>
    </r>
    <r>
      <rPr>
        <sz val="10"/>
        <color theme="1"/>
        <rFont val="ISOCPEUR"/>
        <family val="2"/>
        <charset val="204"/>
      </rPr>
      <t>, А:</t>
    </r>
  </si>
  <si>
    <t>Wтреб = А * 1ч + А * 1ч = 21,11 Ач</t>
  </si>
  <si>
    <r>
      <rPr>
        <sz val="10"/>
        <color theme="1"/>
        <rFont val="Arial"/>
        <family val="2"/>
        <charset val="204"/>
      </rPr>
      <t xml:space="preserve">ИВЭПР 24/5 2х12-Р БР + 2 х SF1212 (12В, 12Ач) </t>
    </r>
    <r>
      <rPr>
        <sz val="10"/>
        <color rgb="FFFF0000"/>
        <rFont val="Arial"/>
        <family val="2"/>
        <charset val="204"/>
      </rPr>
      <t>x4</t>
    </r>
  </si>
  <si>
    <t>Wтреб(Ач) &lt; Wном(Ач). ; 21,11 Ач &lt; 48 Ач</t>
  </si>
  <si>
    <t>Требуемая емкость аккумулятора (А*ч):</t>
  </si>
  <si>
    <t>ИП 212-101</t>
  </si>
  <si>
    <t>ИП 513-101</t>
  </si>
  <si>
    <t>УДП-513-101 (П)</t>
  </si>
  <si>
    <t>УДП-513-101 (Д)</t>
  </si>
  <si>
    <r>
      <rPr>
        <sz val="10"/>
        <color theme="1"/>
        <rFont val="ISOCPEUR"/>
        <family val="2"/>
        <charset val="204"/>
      </rPr>
      <t>Итого ∑</t>
    </r>
    <r>
      <rPr>
        <sz val="10"/>
        <color theme="1"/>
        <rFont val="Calibri"/>
        <family val="2"/>
        <charset val="204"/>
      </rPr>
      <t>I</t>
    </r>
    <r>
      <rPr>
        <sz val="10"/>
        <color theme="1"/>
        <rFont val="ISOCPEUR"/>
        <family val="2"/>
        <charset val="204"/>
      </rPr>
      <t>, мА:</t>
    </r>
  </si>
  <si>
    <r>
      <rPr>
        <sz val="10"/>
        <color theme="1"/>
        <rFont val="ISOCPEUR"/>
        <family val="2"/>
        <charset val="204"/>
      </rPr>
      <t>Итого ∑</t>
    </r>
    <r>
      <rPr>
        <sz val="10"/>
        <color theme="1"/>
        <rFont val="Calibri"/>
        <family val="2"/>
        <charset val="204"/>
      </rPr>
      <t>I</t>
    </r>
    <r>
      <rPr>
        <sz val="10"/>
        <color theme="1"/>
        <rFont val="ISOCPEUR"/>
        <family val="2"/>
        <charset val="204"/>
      </rPr>
      <t>, А:</t>
    </r>
  </si>
  <si>
    <r>
      <rPr>
        <sz val="10"/>
        <color theme="1"/>
        <rFont val="Arial"/>
        <family val="2"/>
        <charset val="204"/>
      </rPr>
      <t xml:space="preserve">ИВЭПР 24/5 2х12-Р БР + 2 х SF1212 (12В, 12Ач) </t>
    </r>
    <r>
      <rPr>
        <sz val="10"/>
        <color rgb="FFFF0000"/>
        <rFont val="Arial"/>
        <family val="2"/>
        <charset val="204"/>
      </rPr>
      <t>x5</t>
    </r>
  </si>
  <si>
    <r>
      <rPr>
        <sz val="10"/>
        <color theme="1"/>
        <rFont val="ISOCPEUR"/>
        <family val="2"/>
        <charset val="204"/>
      </rPr>
      <t>Итого ∑</t>
    </r>
    <r>
      <rPr>
        <sz val="10"/>
        <color theme="1"/>
        <rFont val="Calibri"/>
        <family val="2"/>
        <charset val="204"/>
      </rPr>
      <t>I</t>
    </r>
    <r>
      <rPr>
        <sz val="10"/>
        <color theme="1"/>
        <rFont val="ISOCPEUR"/>
        <family val="2"/>
        <charset val="204"/>
      </rPr>
      <t>, мА:</t>
    </r>
  </si>
  <si>
    <r>
      <rPr>
        <sz val="10"/>
        <color theme="1"/>
        <rFont val="ISOCPEUR"/>
        <family val="2"/>
        <charset val="204"/>
      </rPr>
      <t>Итого ∑</t>
    </r>
    <r>
      <rPr>
        <sz val="10"/>
        <color theme="1"/>
        <rFont val="Calibri"/>
        <family val="2"/>
        <charset val="204"/>
      </rPr>
      <t>I</t>
    </r>
    <r>
      <rPr>
        <sz val="10"/>
        <color theme="1"/>
        <rFont val="ISOCPEUR"/>
        <family val="2"/>
        <charset val="204"/>
      </rPr>
      <t>, А:</t>
    </r>
  </si>
  <si>
    <r>
      <rPr>
        <sz val="10"/>
        <color theme="1"/>
        <rFont val="Arial"/>
        <family val="2"/>
        <charset val="204"/>
      </rPr>
      <t xml:space="preserve">ИВЭПР 24/5 2х12-Р БР + 2 х SF1212 (12В, 12Ач) </t>
    </r>
    <r>
      <rPr>
        <sz val="10"/>
        <color rgb="FFFF0000"/>
        <rFont val="Arial"/>
        <family val="2"/>
        <charset val="204"/>
      </rPr>
      <t>x4</t>
    </r>
  </si>
  <si>
    <r>
      <rPr>
        <sz val="10"/>
        <color theme="1"/>
        <rFont val="ISOCPEUR"/>
        <family val="2"/>
        <charset val="204"/>
      </rPr>
      <t>Итого ∑</t>
    </r>
    <r>
      <rPr>
        <sz val="10"/>
        <color theme="1"/>
        <rFont val="Calibri"/>
        <family val="2"/>
        <charset val="204"/>
      </rPr>
      <t>I</t>
    </r>
    <r>
      <rPr>
        <sz val="10"/>
        <color theme="1"/>
        <rFont val="ISOCPEUR"/>
        <family val="2"/>
        <charset val="204"/>
      </rPr>
      <t>, мА:</t>
    </r>
  </si>
  <si>
    <r>
      <rPr>
        <sz val="10"/>
        <color theme="1"/>
        <rFont val="ISOCPEUR"/>
        <family val="2"/>
        <charset val="204"/>
      </rPr>
      <t>Итого ∑</t>
    </r>
    <r>
      <rPr>
        <sz val="10"/>
        <color theme="1"/>
        <rFont val="Calibri"/>
        <family val="2"/>
        <charset val="204"/>
      </rPr>
      <t>I</t>
    </r>
    <r>
      <rPr>
        <sz val="10"/>
        <color theme="1"/>
        <rFont val="ISOCPEUR"/>
        <family val="2"/>
        <charset val="204"/>
      </rPr>
      <t>, А:</t>
    </r>
  </si>
  <si>
    <r>
      <rPr>
        <sz val="10"/>
        <color theme="1"/>
        <rFont val="Arial"/>
        <family val="2"/>
        <charset val="204"/>
      </rPr>
      <t xml:space="preserve">ИВЭПР 24/5 2х12-Р БР + 2 х SF1212 (12В, 12Ач) </t>
    </r>
    <r>
      <rPr>
        <sz val="10"/>
        <color rgb="FFFF0000"/>
        <rFont val="Arial"/>
        <family val="2"/>
        <charset val="204"/>
      </rPr>
      <t>x5</t>
    </r>
  </si>
  <si>
    <r>
      <rPr>
        <sz val="10"/>
        <color theme="1"/>
        <rFont val="ISOCPEUR"/>
        <family val="2"/>
        <charset val="204"/>
      </rPr>
      <t>Итого ∑</t>
    </r>
    <r>
      <rPr>
        <sz val="10"/>
        <color theme="1"/>
        <rFont val="Calibri"/>
        <family val="2"/>
        <charset val="204"/>
      </rPr>
      <t>I</t>
    </r>
    <r>
      <rPr>
        <sz val="10"/>
        <color theme="1"/>
        <rFont val="ISOCPEUR"/>
        <family val="2"/>
        <charset val="204"/>
      </rPr>
      <t>, мА:</t>
    </r>
  </si>
  <si>
    <r>
      <rPr>
        <sz val="10"/>
        <color theme="1"/>
        <rFont val="ISOCPEUR"/>
        <family val="2"/>
        <charset val="204"/>
      </rPr>
      <t>Итого ∑</t>
    </r>
    <r>
      <rPr>
        <sz val="10"/>
        <color theme="1"/>
        <rFont val="Calibri"/>
        <family val="2"/>
        <charset val="204"/>
      </rPr>
      <t>I</t>
    </r>
    <r>
      <rPr>
        <sz val="10"/>
        <color theme="1"/>
        <rFont val="ISOCPEUR"/>
        <family val="2"/>
        <charset val="204"/>
      </rPr>
      <t>, А:</t>
    </r>
  </si>
  <si>
    <r>
      <rPr>
        <sz val="10"/>
        <color theme="1"/>
        <rFont val="Arial"/>
        <family val="2"/>
        <charset val="204"/>
      </rPr>
      <t xml:space="preserve">ИВЭПР 24/5 2х12-Р БР + 2 х SF1212 (12В, 12Ач) </t>
    </r>
    <r>
      <rPr>
        <sz val="10"/>
        <color rgb="FFFF0000"/>
        <rFont val="Arial"/>
        <family val="2"/>
        <charset val="204"/>
      </rPr>
      <t>x4</t>
    </r>
  </si>
  <si>
    <t>Спектрон-801</t>
  </si>
  <si>
    <t>ОР-101</t>
  </si>
  <si>
    <t>Дом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</si>
</sst>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0"/>
      <color theme="1"/>
      <name val="Arial"/>
      <family val="2"/>
      <charset val="204"/>
    </font>
    <font>
      <sz val="11"/>
      <name val="Calibri"/>
      <family val="2"/>
      <charset val="204"/>
    </font>
    <font>
      <sz val="10"/>
      <color theme="1"/>
      <name val="ISOCPEUR"/>
      <family val="2"/>
      <charset val="204"/>
    </font>
    <font>
      <sz val="11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DDD9C3"/>
        <bgColor rgb="FFDDD9C3"/>
      </patternFill>
    </fill>
    <fill>
      <patternFill patternType="solid">
        <fgColor rgb="FFF2DBDB"/>
        <bgColor rgb="FFF2DBDB"/>
      </patternFill>
    </fill>
    <fill>
      <patternFill patternType="solid">
        <fgColor rgb="FFB8CCE4"/>
        <bgColor rgb="FFB8CCE4"/>
      </patternFill>
    </fill>
    <fill>
      <patternFill patternType="solid">
        <fgColor rgb="FFFF0000"/>
        <bgColor rgb="FFFF000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/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2" fontId="1" fillId="4" borderId="13" xfId="0" applyNumberFormat="1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2" fontId="3" fillId="4" borderId="13" xfId="0" applyNumberFormat="1" applyFont="1" applyFill="1" applyBorder="1" applyAlignment="1">
      <alignment horizontal="center" vertical="center"/>
    </xf>
    <xf numFmtId="0" fontId="4" fillId="0" borderId="0" xfId="0" applyFont="1"/>
    <xf numFmtId="0" fontId="3" fillId="3" borderId="13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4" borderId="7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Z661"/>
  <sheetViews>
    <sheetView topLeftCell="A28" workbookViewId="0">
      <selection activeCell="O43" sqref="O43:O61"/>
    </sheetView>
  </sheetViews>
  <sheetFormatPr defaultColWidth="14.42578125" defaultRowHeight="15" customHeight="1" x14ac:dyDescent="0.25"/>
  <cols>
    <col min="1" max="1" width="4.140625" customWidth="1"/>
    <col min="2" max="2" width="18.140625" customWidth="1"/>
    <col min="3" max="3" width="7.5703125" customWidth="1"/>
    <col min="4" max="4" width="29.7109375" customWidth="1"/>
    <col min="5" max="5" width="27.42578125" customWidth="1"/>
    <col min="6" max="7" width="14.5703125" customWidth="1"/>
    <col min="8" max="8" width="12" bestFit="1" customWidth="1"/>
    <col min="9" max="9" width="10.42578125" customWidth="1"/>
    <col min="10" max="12" width="7.5703125" customWidth="1"/>
    <col min="13" max="13" width="4.140625" customWidth="1"/>
    <col min="14" max="14" width="18.140625" customWidth="1"/>
    <col min="15" max="15" width="7.5703125" customWidth="1"/>
    <col min="16" max="16" width="29.7109375" customWidth="1"/>
    <col min="17" max="17" width="27.42578125" customWidth="1"/>
    <col min="18" max="19" width="14.5703125" customWidth="1"/>
    <col min="20" max="20" width="12" bestFit="1" customWidth="1"/>
    <col min="21" max="26" width="7.5703125" customWidth="1"/>
  </cols>
  <sheetData>
    <row r="1" spans="1:26" ht="15.75" customHeight="1" x14ac:dyDescent="0.25">
      <c r="A1" s="23" t="s">
        <v>70</v>
      </c>
      <c r="B1" s="24"/>
      <c r="C1" s="24"/>
      <c r="D1" s="24"/>
      <c r="E1" s="24"/>
      <c r="F1" s="24"/>
      <c r="G1" s="25"/>
      <c r="H1" s="1"/>
      <c r="I1" s="1"/>
      <c r="J1" s="1"/>
      <c r="K1" s="1"/>
      <c r="L1" s="1"/>
      <c r="M1" s="23"/>
      <c r="N1" s="24"/>
      <c r="O1" s="24"/>
      <c r="P1" s="24"/>
      <c r="Q1" s="24"/>
      <c r="R1" s="24"/>
      <c r="S1" s="25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17" t="s">
        <v>0</v>
      </c>
      <c r="B2" s="18"/>
      <c r="C2" s="19"/>
      <c r="D2" s="16" t="s">
        <v>1</v>
      </c>
      <c r="E2" s="13"/>
      <c r="F2" s="13"/>
      <c r="G2" s="14"/>
      <c r="H2" s="1"/>
      <c r="I2" s="1"/>
      <c r="J2" s="1"/>
      <c r="K2" s="1"/>
      <c r="L2" s="1"/>
      <c r="M2" s="17" t="s">
        <v>0</v>
      </c>
      <c r="N2" s="18"/>
      <c r="O2" s="19"/>
      <c r="P2" s="16" t="s">
        <v>1</v>
      </c>
      <c r="Q2" s="13"/>
      <c r="R2" s="13"/>
      <c r="S2" s="14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0"/>
      <c r="B3" s="21"/>
      <c r="C3" s="22"/>
      <c r="D3" s="16" t="s">
        <v>2</v>
      </c>
      <c r="E3" s="14"/>
      <c r="F3" s="16" t="s">
        <v>3</v>
      </c>
      <c r="G3" s="14"/>
      <c r="H3" s="1"/>
      <c r="I3" s="1"/>
      <c r="J3" s="1"/>
      <c r="K3" s="1"/>
      <c r="L3" s="1"/>
      <c r="M3" s="20"/>
      <c r="N3" s="21"/>
      <c r="O3" s="22"/>
      <c r="P3" s="16" t="s">
        <v>2</v>
      </c>
      <c r="Q3" s="14"/>
      <c r="R3" s="16" t="s">
        <v>3</v>
      </c>
      <c r="S3" s="14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1"/>
      <c r="I4" s="1"/>
      <c r="J4" s="1"/>
      <c r="K4" s="1"/>
      <c r="L4" s="1"/>
      <c r="M4" s="2" t="s">
        <v>4</v>
      </c>
      <c r="N4" s="2" t="s">
        <v>5</v>
      </c>
      <c r="O4" s="2" t="s">
        <v>6</v>
      </c>
      <c r="P4" s="2" t="s">
        <v>7</v>
      </c>
      <c r="Q4" s="2" t="s">
        <v>8</v>
      </c>
      <c r="R4" s="2" t="s">
        <v>9</v>
      </c>
      <c r="S4" s="2" t="s">
        <v>10</v>
      </c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2">
        <v>1</v>
      </c>
      <c r="B5" s="2" t="s">
        <v>11</v>
      </c>
      <c r="C5" s="3">
        <v>2</v>
      </c>
      <c r="D5" s="4">
        <v>500</v>
      </c>
      <c r="E5" s="2">
        <f t="shared" ref="E5:E28" si="0">C5*D5</f>
        <v>1000</v>
      </c>
      <c r="F5" s="4">
        <v>500</v>
      </c>
      <c r="G5" s="2">
        <f t="shared" ref="G5:G28" si="1">C5*F5</f>
        <v>1000</v>
      </c>
      <c r="H5" s="1"/>
      <c r="I5" s="1"/>
      <c r="J5" s="1"/>
      <c r="K5" s="1"/>
      <c r="L5" s="1"/>
      <c r="M5" s="2">
        <v>1</v>
      </c>
      <c r="N5" s="3" t="s">
        <v>11</v>
      </c>
      <c r="O5" s="3"/>
      <c r="P5" s="4">
        <v>500</v>
      </c>
      <c r="Q5" s="3">
        <f t="shared" ref="Q5:Q28" si="2">O5*P5</f>
        <v>0</v>
      </c>
      <c r="R5" s="4">
        <v>500</v>
      </c>
      <c r="S5" s="3">
        <f t="shared" ref="S5:S28" si="3">O5*R5</f>
        <v>0</v>
      </c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2">
        <v>2</v>
      </c>
      <c r="B6" s="2" t="s">
        <v>12</v>
      </c>
      <c r="C6" s="3">
        <v>30</v>
      </c>
      <c r="D6" s="4">
        <v>150</v>
      </c>
      <c r="E6" s="2">
        <f t="shared" si="0"/>
        <v>4500</v>
      </c>
      <c r="F6" s="4">
        <v>150</v>
      </c>
      <c r="G6" s="2">
        <f t="shared" si="1"/>
        <v>4500</v>
      </c>
      <c r="H6" s="1"/>
      <c r="I6" s="1"/>
      <c r="J6" s="1"/>
      <c r="K6" s="1"/>
      <c r="L6" s="1"/>
      <c r="M6" s="2">
        <v>2</v>
      </c>
      <c r="N6" s="3" t="s">
        <v>12</v>
      </c>
      <c r="O6" s="3"/>
      <c r="P6" s="4">
        <v>150</v>
      </c>
      <c r="Q6" s="3">
        <f t="shared" si="2"/>
        <v>0</v>
      </c>
      <c r="R6" s="4">
        <v>150</v>
      </c>
      <c r="S6" s="3">
        <f t="shared" si="3"/>
        <v>0</v>
      </c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2">
        <v>3</v>
      </c>
      <c r="B7" s="2" t="s">
        <v>13</v>
      </c>
      <c r="C7" s="3">
        <v>3</v>
      </c>
      <c r="D7" s="4">
        <v>220</v>
      </c>
      <c r="E7" s="2">
        <f t="shared" si="0"/>
        <v>660</v>
      </c>
      <c r="F7" s="4">
        <v>320</v>
      </c>
      <c r="G7" s="2">
        <f t="shared" si="1"/>
        <v>960</v>
      </c>
      <c r="H7" s="1"/>
      <c r="I7" s="1"/>
      <c r="J7" s="1"/>
      <c r="K7" s="1"/>
      <c r="L7" s="1"/>
      <c r="M7" s="2">
        <v>3</v>
      </c>
      <c r="N7" s="3" t="s">
        <v>13</v>
      </c>
      <c r="O7" s="3"/>
      <c r="P7" s="4">
        <v>220</v>
      </c>
      <c r="Q7" s="3">
        <f t="shared" si="2"/>
        <v>0</v>
      </c>
      <c r="R7" s="4">
        <v>320</v>
      </c>
      <c r="S7" s="3">
        <f t="shared" si="3"/>
        <v>0</v>
      </c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2">
        <v>4</v>
      </c>
      <c r="B8" s="2" t="s">
        <v>14</v>
      </c>
      <c r="C8" s="3">
        <v>275</v>
      </c>
      <c r="D8" s="4">
        <v>0.17</v>
      </c>
      <c r="E8" s="2">
        <f t="shared" si="0"/>
        <v>46.75</v>
      </c>
      <c r="F8" s="4">
        <v>0.18</v>
      </c>
      <c r="G8" s="2">
        <f t="shared" si="1"/>
        <v>49.5</v>
      </c>
      <c r="H8" s="1"/>
      <c r="I8" s="1"/>
      <c r="J8" s="1"/>
      <c r="K8" s="1"/>
      <c r="L8" s="1"/>
      <c r="M8" s="3">
        <v>4</v>
      </c>
      <c r="N8" s="3" t="s">
        <v>14</v>
      </c>
      <c r="O8" s="3"/>
      <c r="P8" s="4">
        <v>0.17</v>
      </c>
      <c r="Q8" s="3">
        <f t="shared" si="2"/>
        <v>0</v>
      </c>
      <c r="R8" s="4">
        <v>0.18</v>
      </c>
      <c r="S8" s="3">
        <f t="shared" si="3"/>
        <v>0</v>
      </c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2">
        <v>5</v>
      </c>
      <c r="B9" s="2" t="s">
        <v>15</v>
      </c>
      <c r="C9" s="3">
        <v>70</v>
      </c>
      <c r="D9" s="4">
        <v>0.16</v>
      </c>
      <c r="E9" s="2">
        <f t="shared" si="0"/>
        <v>11.200000000000001</v>
      </c>
      <c r="F9" s="4">
        <v>0.2</v>
      </c>
      <c r="G9" s="2">
        <f t="shared" si="1"/>
        <v>14</v>
      </c>
      <c r="H9" s="1"/>
      <c r="I9" s="1"/>
      <c r="J9" s="1"/>
      <c r="K9" s="1"/>
      <c r="L9" s="1"/>
      <c r="M9" s="3">
        <v>5</v>
      </c>
      <c r="N9" s="3" t="s">
        <v>15</v>
      </c>
      <c r="O9" s="3"/>
      <c r="P9" s="4">
        <v>0.16</v>
      </c>
      <c r="Q9" s="3">
        <f t="shared" si="2"/>
        <v>0</v>
      </c>
      <c r="R9" s="4">
        <v>0.2</v>
      </c>
      <c r="S9" s="3">
        <f t="shared" si="3"/>
        <v>0</v>
      </c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2">
        <v>6</v>
      </c>
      <c r="B10" s="2" t="s">
        <v>16</v>
      </c>
      <c r="C10" s="3"/>
      <c r="D10" s="4">
        <v>0.16</v>
      </c>
      <c r="E10" s="2">
        <f t="shared" si="0"/>
        <v>0</v>
      </c>
      <c r="F10" s="4">
        <v>0.2</v>
      </c>
      <c r="G10" s="2">
        <f t="shared" si="1"/>
        <v>0</v>
      </c>
      <c r="H10" s="1"/>
      <c r="I10" s="1"/>
      <c r="J10" s="1"/>
      <c r="K10" s="1"/>
      <c r="L10" s="1"/>
      <c r="M10" s="3">
        <v>6</v>
      </c>
      <c r="N10" s="3" t="s">
        <v>16</v>
      </c>
      <c r="O10" s="3"/>
      <c r="P10" s="4">
        <v>0.16</v>
      </c>
      <c r="Q10" s="3">
        <f t="shared" si="2"/>
        <v>0</v>
      </c>
      <c r="R10" s="4">
        <v>0.2</v>
      </c>
      <c r="S10" s="3">
        <f t="shared" si="3"/>
        <v>0</v>
      </c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3">
        <v>7</v>
      </c>
      <c r="B11" s="2" t="s">
        <v>17</v>
      </c>
      <c r="C11" s="3"/>
      <c r="D11" s="4">
        <v>0.16</v>
      </c>
      <c r="E11" s="2">
        <f t="shared" si="0"/>
        <v>0</v>
      </c>
      <c r="F11" s="4">
        <v>0.2</v>
      </c>
      <c r="G11" s="2">
        <f t="shared" si="1"/>
        <v>0</v>
      </c>
      <c r="H11" s="1"/>
      <c r="I11" s="1"/>
      <c r="J11" s="1"/>
      <c r="K11" s="1"/>
      <c r="L11" s="1"/>
      <c r="M11" s="3">
        <v>7</v>
      </c>
      <c r="N11" s="3" t="s">
        <v>17</v>
      </c>
      <c r="O11" s="3"/>
      <c r="P11" s="4">
        <v>0.16</v>
      </c>
      <c r="Q11" s="3">
        <f t="shared" si="2"/>
        <v>0</v>
      </c>
      <c r="R11" s="4">
        <v>0.2</v>
      </c>
      <c r="S11" s="3">
        <f t="shared" si="3"/>
        <v>0</v>
      </c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3">
        <v>8</v>
      </c>
      <c r="B12" s="2" t="s">
        <v>18</v>
      </c>
      <c r="C12" s="2">
        <v>30</v>
      </c>
      <c r="D12" s="4">
        <v>14</v>
      </c>
      <c r="E12" s="2">
        <f t="shared" si="0"/>
        <v>420</v>
      </c>
      <c r="F12" s="4">
        <v>14</v>
      </c>
      <c r="G12" s="2">
        <f t="shared" si="1"/>
        <v>420</v>
      </c>
      <c r="H12" s="1"/>
      <c r="I12" s="1"/>
      <c r="J12" s="1"/>
      <c r="K12" s="1"/>
      <c r="L12" s="1"/>
      <c r="M12" s="3">
        <v>8</v>
      </c>
      <c r="N12" s="3" t="s">
        <v>18</v>
      </c>
      <c r="O12" s="3"/>
      <c r="P12" s="4">
        <v>14</v>
      </c>
      <c r="Q12" s="3">
        <f t="shared" si="2"/>
        <v>0</v>
      </c>
      <c r="R12" s="4">
        <v>14</v>
      </c>
      <c r="S12" s="3">
        <f t="shared" si="3"/>
        <v>0</v>
      </c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3">
        <v>9</v>
      </c>
      <c r="B13" s="2" t="s">
        <v>19</v>
      </c>
      <c r="C13" s="3"/>
      <c r="D13" s="4">
        <v>0.5</v>
      </c>
      <c r="E13" s="2">
        <f t="shared" si="0"/>
        <v>0</v>
      </c>
      <c r="F13" s="4">
        <v>7</v>
      </c>
      <c r="G13" s="2">
        <f t="shared" si="1"/>
        <v>0</v>
      </c>
      <c r="H13" s="1"/>
      <c r="I13" s="1"/>
      <c r="J13" s="1"/>
      <c r="K13" s="1"/>
      <c r="L13" s="1"/>
      <c r="M13" s="3">
        <v>9</v>
      </c>
      <c r="N13" s="3" t="s">
        <v>19</v>
      </c>
      <c r="O13" s="3"/>
      <c r="P13" s="4">
        <v>0.5</v>
      </c>
      <c r="Q13" s="3">
        <f t="shared" si="2"/>
        <v>0</v>
      </c>
      <c r="R13" s="4">
        <v>7</v>
      </c>
      <c r="S13" s="3">
        <f t="shared" si="3"/>
        <v>0</v>
      </c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3">
        <v>10</v>
      </c>
      <c r="B14" s="2" t="s">
        <v>20</v>
      </c>
      <c r="C14" s="3"/>
      <c r="D14" s="4">
        <v>50</v>
      </c>
      <c r="E14" s="2">
        <f t="shared" si="0"/>
        <v>0</v>
      </c>
      <c r="F14" s="4">
        <v>50</v>
      </c>
      <c r="G14" s="2">
        <f t="shared" si="1"/>
        <v>0</v>
      </c>
      <c r="H14" s="1"/>
      <c r="I14" s="1"/>
      <c r="J14" s="1"/>
      <c r="K14" s="1"/>
      <c r="L14" s="1"/>
      <c r="M14" s="3">
        <v>10</v>
      </c>
      <c r="N14" s="3" t="s">
        <v>20</v>
      </c>
      <c r="O14" s="3"/>
      <c r="P14" s="4">
        <v>50</v>
      </c>
      <c r="Q14" s="3">
        <f t="shared" si="2"/>
        <v>0</v>
      </c>
      <c r="R14" s="4">
        <v>50</v>
      </c>
      <c r="S14" s="3">
        <f t="shared" si="3"/>
        <v>0</v>
      </c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3">
        <v>11</v>
      </c>
      <c r="B15" s="2" t="s">
        <v>21</v>
      </c>
      <c r="C15" s="3"/>
      <c r="D15" s="4">
        <v>0.17199999999999999</v>
      </c>
      <c r="E15" s="2">
        <f t="shared" si="0"/>
        <v>0</v>
      </c>
      <c r="F15" s="4">
        <v>0.188</v>
      </c>
      <c r="G15" s="2">
        <f t="shared" si="1"/>
        <v>0</v>
      </c>
      <c r="H15" s="1"/>
      <c r="I15" s="1"/>
      <c r="J15" s="1"/>
      <c r="K15" s="1"/>
      <c r="L15" s="1"/>
      <c r="M15" s="3">
        <v>11</v>
      </c>
      <c r="N15" s="3" t="s">
        <v>21</v>
      </c>
      <c r="O15" s="3"/>
      <c r="P15" s="4">
        <v>0.17199999999999999</v>
      </c>
      <c r="Q15" s="3">
        <f t="shared" si="2"/>
        <v>0</v>
      </c>
      <c r="R15" s="4">
        <v>0.188</v>
      </c>
      <c r="S15" s="3">
        <f t="shared" si="3"/>
        <v>0</v>
      </c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3">
        <v>12</v>
      </c>
      <c r="B16" s="2" t="s">
        <v>22</v>
      </c>
      <c r="C16" s="2">
        <v>10</v>
      </c>
      <c r="D16" s="4">
        <v>0.3</v>
      </c>
      <c r="E16" s="2">
        <f t="shared" si="0"/>
        <v>3</v>
      </c>
      <c r="F16" s="4">
        <v>28</v>
      </c>
      <c r="G16" s="2">
        <f t="shared" si="1"/>
        <v>280</v>
      </c>
      <c r="H16" s="1"/>
      <c r="I16" s="1"/>
      <c r="J16" s="1"/>
      <c r="K16" s="1"/>
      <c r="L16" s="1"/>
      <c r="M16" s="3">
        <v>12</v>
      </c>
      <c r="N16" s="3" t="s">
        <v>22</v>
      </c>
      <c r="O16" s="3"/>
      <c r="P16" s="4">
        <v>0.3</v>
      </c>
      <c r="Q16" s="3">
        <f t="shared" si="2"/>
        <v>0</v>
      </c>
      <c r="R16" s="4">
        <v>28</v>
      </c>
      <c r="S16" s="3">
        <f t="shared" si="3"/>
        <v>0</v>
      </c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3">
        <v>13</v>
      </c>
      <c r="B17" s="2" t="s">
        <v>23</v>
      </c>
      <c r="C17" s="3">
        <v>3</v>
      </c>
      <c r="D17" s="4">
        <v>0.2</v>
      </c>
      <c r="E17" s="2">
        <f t="shared" si="0"/>
        <v>0.60000000000000009</v>
      </c>
      <c r="F17" s="4">
        <v>28</v>
      </c>
      <c r="G17" s="2">
        <f t="shared" si="1"/>
        <v>84</v>
      </c>
      <c r="H17" s="1"/>
      <c r="I17" s="1"/>
      <c r="J17" s="1"/>
      <c r="K17" s="1"/>
      <c r="L17" s="1"/>
      <c r="M17" s="3">
        <v>13</v>
      </c>
      <c r="N17" s="3" t="s">
        <v>23</v>
      </c>
      <c r="O17" s="3"/>
      <c r="P17" s="4">
        <v>0.2</v>
      </c>
      <c r="Q17" s="3">
        <f t="shared" si="2"/>
        <v>0</v>
      </c>
      <c r="R17" s="4">
        <v>28</v>
      </c>
      <c r="S17" s="3">
        <f t="shared" si="3"/>
        <v>0</v>
      </c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3">
        <v>14</v>
      </c>
      <c r="B18" s="2" t="s">
        <v>24</v>
      </c>
      <c r="C18" s="3"/>
      <c r="D18" s="4">
        <v>6</v>
      </c>
      <c r="E18" s="2">
        <f t="shared" si="0"/>
        <v>0</v>
      </c>
      <c r="F18" s="4">
        <v>6</v>
      </c>
      <c r="G18" s="2">
        <f t="shared" si="1"/>
        <v>0</v>
      </c>
      <c r="H18" s="1"/>
      <c r="I18" s="1"/>
      <c r="J18" s="1"/>
      <c r="K18" s="1"/>
      <c r="L18" s="1"/>
      <c r="M18" s="3">
        <v>14</v>
      </c>
      <c r="N18" s="3" t="s">
        <v>24</v>
      </c>
      <c r="O18" s="3"/>
      <c r="P18" s="4">
        <v>6</v>
      </c>
      <c r="Q18" s="3">
        <f t="shared" si="2"/>
        <v>0</v>
      </c>
      <c r="R18" s="4">
        <v>6</v>
      </c>
      <c r="S18" s="3">
        <f t="shared" si="3"/>
        <v>0</v>
      </c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3">
        <v>15</v>
      </c>
      <c r="B19" s="2" t="s">
        <v>25</v>
      </c>
      <c r="C19" s="3"/>
      <c r="D19" s="2">
        <v>0</v>
      </c>
      <c r="E19" s="2">
        <f t="shared" si="0"/>
        <v>0</v>
      </c>
      <c r="F19" s="4">
        <v>20</v>
      </c>
      <c r="G19" s="2">
        <f t="shared" si="1"/>
        <v>0</v>
      </c>
      <c r="H19" s="1"/>
      <c r="I19" s="1"/>
      <c r="J19" s="1"/>
      <c r="K19" s="1"/>
      <c r="L19" s="1"/>
      <c r="M19" s="3">
        <v>15</v>
      </c>
      <c r="N19" s="3" t="s">
        <v>25</v>
      </c>
      <c r="O19" s="3"/>
      <c r="P19" s="3">
        <v>0</v>
      </c>
      <c r="Q19" s="3">
        <f t="shared" si="2"/>
        <v>0</v>
      </c>
      <c r="R19" s="4">
        <v>20</v>
      </c>
      <c r="S19" s="3">
        <f t="shared" si="3"/>
        <v>0</v>
      </c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3">
        <v>16</v>
      </c>
      <c r="B20" s="2" t="s">
        <v>26</v>
      </c>
      <c r="C20" s="2">
        <v>119</v>
      </c>
      <c r="D20" s="2">
        <v>0</v>
      </c>
      <c r="E20" s="2">
        <f t="shared" si="0"/>
        <v>0</v>
      </c>
      <c r="F20" s="2">
        <v>20</v>
      </c>
      <c r="G20" s="2">
        <f t="shared" si="1"/>
        <v>2380</v>
      </c>
      <c r="H20" s="1"/>
      <c r="I20" s="1"/>
      <c r="J20" s="1"/>
      <c r="K20" s="1"/>
      <c r="L20" s="1"/>
      <c r="M20" s="3">
        <v>16</v>
      </c>
      <c r="N20" s="3" t="s">
        <v>26</v>
      </c>
      <c r="O20" s="3"/>
      <c r="P20" s="3">
        <v>0</v>
      </c>
      <c r="Q20" s="3">
        <f t="shared" si="2"/>
        <v>0</v>
      </c>
      <c r="R20" s="3">
        <v>20</v>
      </c>
      <c r="S20" s="3">
        <f t="shared" si="3"/>
        <v>0</v>
      </c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3">
        <v>17</v>
      </c>
      <c r="B21" s="2" t="s">
        <v>27</v>
      </c>
      <c r="C21" s="3"/>
      <c r="D21" s="2">
        <v>0</v>
      </c>
      <c r="E21" s="2">
        <f t="shared" si="0"/>
        <v>0</v>
      </c>
      <c r="F21" s="2">
        <v>75</v>
      </c>
      <c r="G21" s="2">
        <f t="shared" si="1"/>
        <v>0</v>
      </c>
      <c r="H21" s="1"/>
      <c r="I21" s="1"/>
      <c r="J21" s="1"/>
      <c r="K21" s="1"/>
      <c r="L21" s="1"/>
      <c r="M21" s="3">
        <v>17</v>
      </c>
      <c r="N21" s="3" t="s">
        <v>27</v>
      </c>
      <c r="O21" s="3"/>
      <c r="P21" s="3">
        <v>0</v>
      </c>
      <c r="Q21" s="3">
        <f t="shared" si="2"/>
        <v>0</v>
      </c>
      <c r="R21" s="3">
        <v>75</v>
      </c>
      <c r="S21" s="3">
        <f t="shared" si="3"/>
        <v>0</v>
      </c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3">
        <v>18</v>
      </c>
      <c r="B22" s="2" t="s">
        <v>28</v>
      </c>
      <c r="C22" s="3"/>
      <c r="D22" s="2">
        <v>0</v>
      </c>
      <c r="E22" s="2">
        <f t="shared" si="0"/>
        <v>0</v>
      </c>
      <c r="F22" s="2">
        <v>20</v>
      </c>
      <c r="G22" s="2">
        <f t="shared" si="1"/>
        <v>0</v>
      </c>
      <c r="H22" s="1"/>
      <c r="I22" s="1"/>
      <c r="J22" s="1"/>
      <c r="K22" s="1"/>
      <c r="L22" s="1"/>
      <c r="M22" s="3">
        <v>18</v>
      </c>
      <c r="N22" s="3" t="s">
        <v>28</v>
      </c>
      <c r="O22" s="3"/>
      <c r="P22" s="3">
        <v>0</v>
      </c>
      <c r="Q22" s="3">
        <f t="shared" si="2"/>
        <v>0</v>
      </c>
      <c r="R22" s="3">
        <v>20</v>
      </c>
      <c r="S22" s="3">
        <f t="shared" si="3"/>
        <v>0</v>
      </c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3">
        <v>19</v>
      </c>
      <c r="B23" s="2" t="s">
        <v>29</v>
      </c>
      <c r="C23" s="2"/>
      <c r="D23" s="3">
        <v>20</v>
      </c>
      <c r="E23" s="2">
        <f t="shared" si="0"/>
        <v>0</v>
      </c>
      <c r="F23" s="3">
        <v>20</v>
      </c>
      <c r="G23" s="2">
        <f t="shared" si="1"/>
        <v>0</v>
      </c>
      <c r="H23" s="1"/>
      <c r="I23" s="1"/>
      <c r="J23" s="1"/>
      <c r="K23" s="1"/>
      <c r="L23" s="1"/>
      <c r="M23" s="3">
        <v>19</v>
      </c>
      <c r="N23" s="3" t="s">
        <v>29</v>
      </c>
      <c r="O23" s="3"/>
      <c r="P23" s="3">
        <v>20</v>
      </c>
      <c r="Q23" s="3">
        <f t="shared" si="2"/>
        <v>0</v>
      </c>
      <c r="R23" s="3">
        <v>20</v>
      </c>
      <c r="S23" s="3">
        <f t="shared" si="3"/>
        <v>0</v>
      </c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3">
        <v>20</v>
      </c>
      <c r="B24" s="2" t="s">
        <v>69</v>
      </c>
      <c r="C24" s="2"/>
      <c r="D24" s="4">
        <v>10</v>
      </c>
      <c r="E24" s="2">
        <f t="shared" si="0"/>
        <v>0</v>
      </c>
      <c r="F24" s="4">
        <v>72</v>
      </c>
      <c r="G24" s="2">
        <f t="shared" si="1"/>
        <v>0</v>
      </c>
      <c r="H24" s="1"/>
      <c r="I24" s="1"/>
      <c r="J24" s="1"/>
      <c r="K24" s="1"/>
      <c r="L24" s="1"/>
      <c r="M24" s="3">
        <v>20</v>
      </c>
      <c r="N24" s="3" t="s">
        <v>69</v>
      </c>
      <c r="O24" s="3"/>
      <c r="P24" s="4">
        <v>10</v>
      </c>
      <c r="Q24" s="3">
        <f t="shared" si="2"/>
        <v>0</v>
      </c>
      <c r="R24" s="4">
        <v>72</v>
      </c>
      <c r="S24" s="3">
        <f t="shared" si="3"/>
        <v>0</v>
      </c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3">
        <v>21</v>
      </c>
      <c r="B25" s="3" t="s">
        <v>68</v>
      </c>
      <c r="C25" s="3"/>
      <c r="D25" s="4">
        <v>0.35</v>
      </c>
      <c r="E25" s="3">
        <f t="shared" si="0"/>
        <v>0</v>
      </c>
      <c r="F25" s="4">
        <v>26</v>
      </c>
      <c r="G25" s="3">
        <f t="shared" si="1"/>
        <v>0</v>
      </c>
      <c r="H25" s="1"/>
      <c r="I25" s="1"/>
      <c r="J25" s="1"/>
      <c r="K25" s="1"/>
      <c r="L25" s="1"/>
      <c r="M25" s="3">
        <v>21</v>
      </c>
      <c r="N25" s="3" t="s">
        <v>68</v>
      </c>
      <c r="O25" s="3"/>
      <c r="P25" s="4">
        <v>0.35</v>
      </c>
      <c r="Q25" s="3">
        <f t="shared" si="2"/>
        <v>0</v>
      </c>
      <c r="R25" s="4">
        <v>26</v>
      </c>
      <c r="S25" s="3">
        <f t="shared" si="3"/>
        <v>0</v>
      </c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3">
        <v>22</v>
      </c>
      <c r="B26" s="2" t="s">
        <v>30</v>
      </c>
      <c r="C26" s="2"/>
      <c r="D26" s="4">
        <v>45.5</v>
      </c>
      <c r="E26" s="2">
        <f t="shared" si="0"/>
        <v>0</v>
      </c>
      <c r="F26" s="4">
        <v>47.8</v>
      </c>
      <c r="G26" s="2">
        <f t="shared" si="1"/>
        <v>0</v>
      </c>
      <c r="H26" s="1"/>
      <c r="I26" s="1"/>
      <c r="J26" s="1"/>
      <c r="K26" s="1"/>
      <c r="L26" s="1"/>
      <c r="M26" s="3">
        <v>22</v>
      </c>
      <c r="N26" s="3" t="s">
        <v>30</v>
      </c>
      <c r="O26" s="3"/>
      <c r="P26" s="4">
        <v>45.5</v>
      </c>
      <c r="Q26" s="3">
        <f t="shared" si="2"/>
        <v>0</v>
      </c>
      <c r="R26" s="4">
        <v>47.8</v>
      </c>
      <c r="S26" s="3">
        <f t="shared" si="3"/>
        <v>0</v>
      </c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3">
        <v>23</v>
      </c>
      <c r="B27" s="2" t="s">
        <v>31</v>
      </c>
      <c r="C27" s="2"/>
      <c r="D27" s="4">
        <v>30.8</v>
      </c>
      <c r="E27" s="2">
        <f t="shared" si="0"/>
        <v>0</v>
      </c>
      <c r="F27" s="4">
        <v>32.4</v>
      </c>
      <c r="G27" s="2">
        <f t="shared" si="1"/>
        <v>0</v>
      </c>
      <c r="H27" s="1"/>
      <c r="I27" s="1"/>
      <c r="J27" s="1"/>
      <c r="K27" s="1"/>
      <c r="L27" s="1"/>
      <c r="M27" s="3">
        <v>23</v>
      </c>
      <c r="N27" s="3" t="s">
        <v>31</v>
      </c>
      <c r="O27" s="3"/>
      <c r="P27" s="4">
        <v>30.8</v>
      </c>
      <c r="Q27" s="3">
        <f t="shared" si="2"/>
        <v>0</v>
      </c>
      <c r="R27" s="4">
        <v>32.4</v>
      </c>
      <c r="S27" s="3">
        <f t="shared" si="3"/>
        <v>0</v>
      </c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3">
        <v>24</v>
      </c>
      <c r="B28" s="2" t="s">
        <v>32</v>
      </c>
      <c r="C28" s="2"/>
      <c r="D28" s="4">
        <v>0.24</v>
      </c>
      <c r="E28" s="2">
        <f t="shared" si="0"/>
        <v>0</v>
      </c>
      <c r="F28" s="4">
        <v>0.26</v>
      </c>
      <c r="G28" s="2">
        <f t="shared" si="1"/>
        <v>0</v>
      </c>
      <c r="H28" s="1"/>
      <c r="I28" s="1"/>
      <c r="J28" s="1"/>
      <c r="K28" s="1"/>
      <c r="L28" s="1"/>
      <c r="M28" s="3">
        <v>24</v>
      </c>
      <c r="N28" s="3" t="s">
        <v>32</v>
      </c>
      <c r="O28" s="3"/>
      <c r="P28" s="4">
        <v>0.24</v>
      </c>
      <c r="Q28" s="3">
        <f t="shared" si="2"/>
        <v>0</v>
      </c>
      <c r="R28" s="4">
        <v>0.26</v>
      </c>
      <c r="S28" s="3">
        <f t="shared" si="3"/>
        <v>0</v>
      </c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6" t="s">
        <v>33</v>
      </c>
      <c r="B29" s="13"/>
      <c r="C29" s="13"/>
      <c r="D29" s="14"/>
      <c r="E29" s="2">
        <f>SUM(E5:E28)</f>
        <v>6641.55</v>
      </c>
      <c r="F29" s="2"/>
      <c r="G29" s="2">
        <f>SUM(G5:G28)</f>
        <v>9687.5</v>
      </c>
      <c r="H29" s="1"/>
      <c r="I29" s="1"/>
      <c r="J29" s="1"/>
      <c r="K29" s="1"/>
      <c r="L29" s="1"/>
      <c r="M29" s="16" t="s">
        <v>33</v>
      </c>
      <c r="N29" s="13"/>
      <c r="O29" s="13"/>
      <c r="P29" s="14"/>
      <c r="Q29" s="2">
        <f>SUM(Q5:Q28)</f>
        <v>0</v>
      </c>
      <c r="R29" s="2"/>
      <c r="S29" s="2">
        <f>SUM(S5:S28)</f>
        <v>0</v>
      </c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6" t="s">
        <v>34</v>
      </c>
      <c r="B30" s="13"/>
      <c r="C30" s="13"/>
      <c r="D30" s="14"/>
      <c r="E30" s="5">
        <f>E29/1000</f>
        <v>6.6415500000000005</v>
      </c>
      <c r="F30" s="2"/>
      <c r="G30" s="5">
        <f>G29/1000</f>
        <v>9.6875</v>
      </c>
      <c r="H30" s="1">
        <f>G30/4.5</f>
        <v>2.1527777777777777</v>
      </c>
      <c r="I30" s="1"/>
      <c r="J30" s="1"/>
      <c r="K30" s="1"/>
      <c r="L30" s="1"/>
      <c r="M30" s="16" t="s">
        <v>34</v>
      </c>
      <c r="N30" s="13"/>
      <c r="O30" s="13"/>
      <c r="P30" s="14"/>
      <c r="Q30" s="5">
        <f>Q29/1000</f>
        <v>0</v>
      </c>
      <c r="R30" s="2"/>
      <c r="S30" s="5">
        <f>S29/1000</f>
        <v>0</v>
      </c>
      <c r="T30" s="1">
        <f>S30/4.5</f>
        <v>0</v>
      </c>
      <c r="U30" s="1"/>
      <c r="V30" s="1"/>
      <c r="W30" s="1"/>
      <c r="X30" s="1"/>
      <c r="Y30" s="1"/>
      <c r="Z30" s="1"/>
    </row>
    <row r="31" spans="1:26" ht="15.75" customHeight="1" x14ac:dyDescent="0.25">
      <c r="A31" s="17" t="s">
        <v>35</v>
      </c>
      <c r="B31" s="18"/>
      <c r="C31" s="18"/>
      <c r="D31" s="19"/>
      <c r="E31" s="15" t="s">
        <v>36</v>
      </c>
      <c r="F31" s="13"/>
      <c r="G31" s="14"/>
      <c r="H31" s="1"/>
      <c r="I31" s="1"/>
      <c r="J31" s="1"/>
      <c r="K31" s="1"/>
      <c r="L31" s="1"/>
      <c r="M31" s="17" t="s">
        <v>35</v>
      </c>
      <c r="N31" s="18"/>
      <c r="O31" s="18"/>
      <c r="P31" s="19"/>
      <c r="Q31" s="15" t="s">
        <v>36</v>
      </c>
      <c r="R31" s="13"/>
      <c r="S31" s="14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20"/>
      <c r="B32" s="21"/>
      <c r="C32" s="21"/>
      <c r="D32" s="22"/>
      <c r="E32" s="15" t="s">
        <v>37</v>
      </c>
      <c r="F32" s="13"/>
      <c r="G32" s="14"/>
      <c r="H32" s="1"/>
      <c r="I32" s="1"/>
      <c r="J32" s="1"/>
      <c r="K32" s="1"/>
      <c r="L32" s="1"/>
      <c r="M32" s="20"/>
      <c r="N32" s="21"/>
      <c r="O32" s="21"/>
      <c r="P32" s="22"/>
      <c r="Q32" s="15" t="s">
        <v>37</v>
      </c>
      <c r="R32" s="13"/>
      <c r="S32" s="14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6" t="s">
        <v>38</v>
      </c>
      <c r="B33" s="13"/>
      <c r="C33" s="13"/>
      <c r="D33" s="14"/>
      <c r="E33" s="15" t="s">
        <v>39</v>
      </c>
      <c r="F33" s="13"/>
      <c r="G33" s="14"/>
      <c r="H33" s="1"/>
      <c r="I33" s="1"/>
      <c r="J33" s="1"/>
      <c r="K33" s="1"/>
      <c r="L33" s="1"/>
      <c r="M33" s="16" t="s">
        <v>38</v>
      </c>
      <c r="N33" s="13"/>
      <c r="O33" s="13"/>
      <c r="P33" s="14"/>
      <c r="Q33" s="15" t="s">
        <v>39</v>
      </c>
      <c r="R33" s="13"/>
      <c r="S33" s="14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2" t="s">
        <v>40</v>
      </c>
      <c r="B35" s="13"/>
      <c r="C35" s="13"/>
      <c r="D35" s="13"/>
      <c r="E35" s="13"/>
      <c r="F35" s="14"/>
      <c r="G35" s="5">
        <f>E30*1+G30*1</f>
        <v>16.329050000000002</v>
      </c>
      <c r="H35" s="1">
        <f>G35/40</f>
        <v>0.40822625000000007</v>
      </c>
      <c r="I35" s="1"/>
      <c r="J35" s="1"/>
      <c r="K35" s="1"/>
      <c r="L35" s="1"/>
      <c r="M35" s="12" t="s">
        <v>40</v>
      </c>
      <c r="N35" s="13"/>
      <c r="O35" s="13"/>
      <c r="P35" s="13"/>
      <c r="Q35" s="13"/>
      <c r="R35" s="14"/>
      <c r="S35" s="5">
        <f>Q30*1+S30*1</f>
        <v>0</v>
      </c>
      <c r="T35" s="1">
        <f>S35/40</f>
        <v>0</v>
      </c>
      <c r="U35" s="1"/>
      <c r="V35" s="1"/>
      <c r="W35" s="1"/>
      <c r="X35" s="1"/>
      <c r="Y35" s="1"/>
      <c r="Z35" s="1"/>
    </row>
    <row r="36" spans="1:26" ht="15.75" customHeight="1" x14ac:dyDescent="0.25">
      <c r="A36" s="12" t="s">
        <v>41</v>
      </c>
      <c r="B36" s="13"/>
      <c r="C36" s="13"/>
      <c r="D36" s="13"/>
      <c r="E36" s="13"/>
      <c r="F36" s="14"/>
      <c r="G36" s="5">
        <f>1.25*(E30*24+G30*1)</f>
        <v>211.355875</v>
      </c>
      <c r="H36" s="1">
        <f>G36/40</f>
        <v>5.2838968749999999</v>
      </c>
      <c r="I36" s="1"/>
      <c r="J36" s="1"/>
      <c r="K36" s="1"/>
      <c r="L36" s="1"/>
      <c r="M36" s="12" t="s">
        <v>41</v>
      </c>
      <c r="N36" s="13"/>
      <c r="O36" s="13"/>
      <c r="P36" s="13"/>
      <c r="Q36" s="13"/>
      <c r="R36" s="14"/>
      <c r="S36" s="5">
        <f>1.25*(Q30*24+S30*1)</f>
        <v>0</v>
      </c>
      <c r="T36" s="1">
        <f>S36/40</f>
        <v>0</v>
      </c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23"/>
      <c r="B38" s="24"/>
      <c r="C38" s="24"/>
      <c r="D38" s="24"/>
      <c r="E38" s="24"/>
      <c r="F38" s="24"/>
      <c r="G38" s="25"/>
      <c r="H38" s="1"/>
      <c r="I38" s="1"/>
      <c r="J38" s="1"/>
      <c r="K38" s="1"/>
      <c r="L38" s="1"/>
      <c r="M38" s="23"/>
      <c r="N38" s="24"/>
      <c r="O38" s="24"/>
      <c r="P38" s="24"/>
      <c r="Q38" s="24"/>
      <c r="R38" s="24"/>
      <c r="S38" s="25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7" t="s">
        <v>0</v>
      </c>
      <c r="B39" s="18"/>
      <c r="C39" s="19"/>
      <c r="D39" s="16" t="s">
        <v>1</v>
      </c>
      <c r="E39" s="13"/>
      <c r="F39" s="13"/>
      <c r="G39" s="14"/>
      <c r="H39" s="1"/>
      <c r="I39" s="1"/>
      <c r="J39" s="1"/>
      <c r="K39" s="1"/>
      <c r="L39" s="1"/>
      <c r="M39" s="17" t="s">
        <v>0</v>
      </c>
      <c r="N39" s="18"/>
      <c r="O39" s="19"/>
      <c r="P39" s="16" t="s">
        <v>1</v>
      </c>
      <c r="Q39" s="13"/>
      <c r="R39" s="13"/>
      <c r="S39" s="14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20"/>
      <c r="B40" s="21"/>
      <c r="C40" s="22"/>
      <c r="D40" s="16" t="s">
        <v>2</v>
      </c>
      <c r="E40" s="14"/>
      <c r="F40" s="16" t="s">
        <v>3</v>
      </c>
      <c r="G40" s="14"/>
      <c r="H40" s="1"/>
      <c r="I40" s="1"/>
      <c r="J40" s="1"/>
      <c r="K40" s="1"/>
      <c r="L40" s="1"/>
      <c r="M40" s="20"/>
      <c r="N40" s="21"/>
      <c r="O40" s="22"/>
      <c r="P40" s="16" t="s">
        <v>2</v>
      </c>
      <c r="Q40" s="14"/>
      <c r="R40" s="16" t="s">
        <v>3</v>
      </c>
      <c r="S40" s="14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3" t="s">
        <v>4</v>
      </c>
      <c r="B41" s="3" t="s">
        <v>5</v>
      </c>
      <c r="C41" s="3" t="s">
        <v>6</v>
      </c>
      <c r="D41" s="3" t="s">
        <v>7</v>
      </c>
      <c r="E41" s="3" t="s">
        <v>8</v>
      </c>
      <c r="F41" s="3" t="s">
        <v>9</v>
      </c>
      <c r="G41" s="3" t="s">
        <v>10</v>
      </c>
      <c r="H41" s="1"/>
      <c r="I41" s="1"/>
      <c r="J41" s="1"/>
      <c r="K41" s="1"/>
      <c r="L41" s="1"/>
      <c r="M41" s="3" t="s">
        <v>4</v>
      </c>
      <c r="N41" s="3" t="s">
        <v>5</v>
      </c>
      <c r="O41" s="3" t="s">
        <v>6</v>
      </c>
      <c r="P41" s="3" t="s">
        <v>7</v>
      </c>
      <c r="Q41" s="3" t="s">
        <v>8</v>
      </c>
      <c r="R41" s="3" t="s">
        <v>9</v>
      </c>
      <c r="S41" s="3" t="s">
        <v>10</v>
      </c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3">
        <v>1</v>
      </c>
      <c r="B42" s="3" t="s">
        <v>11</v>
      </c>
      <c r="C42" s="3"/>
      <c r="D42" s="4">
        <v>500</v>
      </c>
      <c r="E42" s="3">
        <f t="shared" ref="E42:E65" si="4">C42*D42</f>
        <v>0</v>
      </c>
      <c r="F42" s="4">
        <v>500</v>
      </c>
      <c r="G42" s="3">
        <f t="shared" ref="G42:G65" si="5">C42*F42</f>
        <v>0</v>
      </c>
      <c r="H42" s="1"/>
      <c r="I42" s="1"/>
      <c r="J42" s="1"/>
      <c r="K42" s="1"/>
      <c r="L42" s="1"/>
      <c r="M42" s="3">
        <v>1</v>
      </c>
      <c r="N42" s="3" t="s">
        <v>11</v>
      </c>
      <c r="O42" s="3"/>
      <c r="P42" s="4">
        <v>500</v>
      </c>
      <c r="Q42" s="3">
        <f t="shared" ref="Q42:Q65" si="6">O42*P42</f>
        <v>0</v>
      </c>
      <c r="R42" s="4">
        <v>500</v>
      </c>
      <c r="S42" s="3">
        <f t="shared" ref="S42:S65" si="7">O42*R42</f>
        <v>0</v>
      </c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3">
        <v>2</v>
      </c>
      <c r="B43" s="3" t="s">
        <v>12</v>
      </c>
      <c r="C43" s="3"/>
      <c r="D43" s="4">
        <v>150</v>
      </c>
      <c r="E43" s="3">
        <f t="shared" si="4"/>
        <v>0</v>
      </c>
      <c r="F43" s="4">
        <v>150</v>
      </c>
      <c r="G43" s="3">
        <f t="shared" si="5"/>
        <v>0</v>
      </c>
      <c r="H43" s="1"/>
      <c r="I43" s="1"/>
      <c r="J43" s="1"/>
      <c r="K43" s="1"/>
      <c r="L43" s="1"/>
      <c r="M43" s="3">
        <v>2</v>
      </c>
      <c r="N43" s="3" t="s">
        <v>12</v>
      </c>
      <c r="O43" s="3"/>
      <c r="P43" s="4">
        <v>150</v>
      </c>
      <c r="Q43" s="3">
        <f t="shared" si="6"/>
        <v>0</v>
      </c>
      <c r="R43" s="4">
        <v>150</v>
      </c>
      <c r="S43" s="3">
        <f t="shared" si="7"/>
        <v>0</v>
      </c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3">
        <v>3</v>
      </c>
      <c r="B44" s="3" t="s">
        <v>13</v>
      </c>
      <c r="C44" s="3"/>
      <c r="D44" s="4">
        <v>220</v>
      </c>
      <c r="E44" s="3">
        <f t="shared" si="4"/>
        <v>0</v>
      </c>
      <c r="F44" s="4">
        <v>320</v>
      </c>
      <c r="G44" s="3">
        <f t="shared" si="5"/>
        <v>0</v>
      </c>
      <c r="H44" s="1"/>
      <c r="I44" s="1"/>
      <c r="J44" s="1"/>
      <c r="K44" s="1"/>
      <c r="L44" s="1"/>
      <c r="M44" s="3">
        <v>3</v>
      </c>
      <c r="N44" s="3" t="s">
        <v>13</v>
      </c>
      <c r="O44" s="3"/>
      <c r="P44" s="4">
        <v>220</v>
      </c>
      <c r="Q44" s="3">
        <f t="shared" si="6"/>
        <v>0</v>
      </c>
      <c r="R44" s="4">
        <v>320</v>
      </c>
      <c r="S44" s="3">
        <f t="shared" si="7"/>
        <v>0</v>
      </c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3">
        <v>4</v>
      </c>
      <c r="B45" s="3" t="s">
        <v>14</v>
      </c>
      <c r="C45" s="3"/>
      <c r="D45" s="4">
        <v>0.17</v>
      </c>
      <c r="E45" s="3">
        <f t="shared" si="4"/>
        <v>0</v>
      </c>
      <c r="F45" s="4">
        <v>0.18</v>
      </c>
      <c r="G45" s="3">
        <f t="shared" si="5"/>
        <v>0</v>
      </c>
      <c r="H45" s="1"/>
      <c r="I45" s="1"/>
      <c r="J45" s="1"/>
      <c r="K45" s="1"/>
      <c r="L45" s="1"/>
      <c r="M45" s="3">
        <v>4</v>
      </c>
      <c r="N45" s="3" t="s">
        <v>14</v>
      </c>
      <c r="O45" s="3"/>
      <c r="P45" s="4">
        <v>0.17</v>
      </c>
      <c r="Q45" s="3">
        <f t="shared" si="6"/>
        <v>0</v>
      </c>
      <c r="R45" s="4">
        <v>0.18</v>
      </c>
      <c r="S45" s="3">
        <f t="shared" si="7"/>
        <v>0</v>
      </c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3">
        <v>5</v>
      </c>
      <c r="B46" s="3" t="s">
        <v>15</v>
      </c>
      <c r="C46" s="3"/>
      <c r="D46" s="4">
        <v>0.16</v>
      </c>
      <c r="E46" s="3">
        <f t="shared" si="4"/>
        <v>0</v>
      </c>
      <c r="F46" s="4">
        <v>0.2</v>
      </c>
      <c r="G46" s="3">
        <f t="shared" si="5"/>
        <v>0</v>
      </c>
      <c r="H46" s="1"/>
      <c r="I46" s="1"/>
      <c r="J46" s="1"/>
      <c r="K46" s="1"/>
      <c r="L46" s="1"/>
      <c r="M46" s="3">
        <v>5</v>
      </c>
      <c r="N46" s="3" t="s">
        <v>15</v>
      </c>
      <c r="O46" s="3"/>
      <c r="P46" s="4">
        <v>0.16</v>
      </c>
      <c r="Q46" s="3">
        <f t="shared" si="6"/>
        <v>0</v>
      </c>
      <c r="R46" s="4">
        <v>0.2</v>
      </c>
      <c r="S46" s="3">
        <f t="shared" si="7"/>
        <v>0</v>
      </c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3">
        <v>6</v>
      </c>
      <c r="B47" s="3" t="s">
        <v>16</v>
      </c>
      <c r="C47" s="3"/>
      <c r="D47" s="4">
        <v>0.16</v>
      </c>
      <c r="E47" s="3">
        <f t="shared" si="4"/>
        <v>0</v>
      </c>
      <c r="F47" s="4">
        <v>0.2</v>
      </c>
      <c r="G47" s="3">
        <f t="shared" si="5"/>
        <v>0</v>
      </c>
      <c r="H47" s="1"/>
      <c r="I47" s="1"/>
      <c r="J47" s="1"/>
      <c r="K47" s="1"/>
      <c r="L47" s="1"/>
      <c r="M47" s="3">
        <v>6</v>
      </c>
      <c r="N47" s="3" t="s">
        <v>16</v>
      </c>
      <c r="O47" s="3"/>
      <c r="P47" s="4">
        <v>0.16</v>
      </c>
      <c r="Q47" s="3">
        <f t="shared" si="6"/>
        <v>0</v>
      </c>
      <c r="R47" s="4">
        <v>0.2</v>
      </c>
      <c r="S47" s="3">
        <f t="shared" si="7"/>
        <v>0</v>
      </c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3">
        <v>7</v>
      </c>
      <c r="B48" s="3" t="s">
        <v>17</v>
      </c>
      <c r="C48" s="3"/>
      <c r="D48" s="4">
        <v>0.16</v>
      </c>
      <c r="E48" s="3">
        <f t="shared" si="4"/>
        <v>0</v>
      </c>
      <c r="F48" s="4">
        <v>0.2</v>
      </c>
      <c r="G48" s="3">
        <f t="shared" si="5"/>
        <v>0</v>
      </c>
      <c r="H48" s="1"/>
      <c r="I48" s="1"/>
      <c r="J48" s="1"/>
      <c r="K48" s="1"/>
      <c r="L48" s="1"/>
      <c r="M48" s="3">
        <v>7</v>
      </c>
      <c r="N48" s="3" t="s">
        <v>17</v>
      </c>
      <c r="O48" s="3"/>
      <c r="P48" s="4">
        <v>0.16</v>
      </c>
      <c r="Q48" s="3">
        <f t="shared" si="6"/>
        <v>0</v>
      </c>
      <c r="R48" s="4">
        <v>0.2</v>
      </c>
      <c r="S48" s="3">
        <f t="shared" si="7"/>
        <v>0</v>
      </c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3">
        <v>8</v>
      </c>
      <c r="B49" s="3" t="s">
        <v>18</v>
      </c>
      <c r="C49" s="3"/>
      <c r="D49" s="4">
        <v>14</v>
      </c>
      <c r="E49" s="3">
        <f t="shared" si="4"/>
        <v>0</v>
      </c>
      <c r="F49" s="4">
        <v>14</v>
      </c>
      <c r="G49" s="3">
        <f t="shared" si="5"/>
        <v>0</v>
      </c>
      <c r="H49" s="1"/>
      <c r="I49" s="1"/>
      <c r="J49" s="1"/>
      <c r="K49" s="1"/>
      <c r="L49" s="1"/>
      <c r="M49" s="3">
        <v>8</v>
      </c>
      <c r="N49" s="3" t="s">
        <v>18</v>
      </c>
      <c r="O49" s="3"/>
      <c r="P49" s="4">
        <v>14</v>
      </c>
      <c r="Q49" s="3">
        <f t="shared" si="6"/>
        <v>0</v>
      </c>
      <c r="R49" s="4">
        <v>14</v>
      </c>
      <c r="S49" s="3">
        <f t="shared" si="7"/>
        <v>0</v>
      </c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3">
        <v>9</v>
      </c>
      <c r="B50" s="3" t="s">
        <v>19</v>
      </c>
      <c r="C50" s="3"/>
      <c r="D50" s="4">
        <v>0.5</v>
      </c>
      <c r="E50" s="3">
        <f t="shared" si="4"/>
        <v>0</v>
      </c>
      <c r="F50" s="4">
        <v>7</v>
      </c>
      <c r="G50" s="3">
        <f t="shared" si="5"/>
        <v>0</v>
      </c>
      <c r="H50" s="1"/>
      <c r="I50" s="1"/>
      <c r="J50" s="1"/>
      <c r="K50" s="1"/>
      <c r="L50" s="1"/>
      <c r="M50" s="3">
        <v>9</v>
      </c>
      <c r="N50" s="3" t="s">
        <v>19</v>
      </c>
      <c r="O50" s="3"/>
      <c r="P50" s="4">
        <v>0.5</v>
      </c>
      <c r="Q50" s="3">
        <f t="shared" si="6"/>
        <v>0</v>
      </c>
      <c r="R50" s="4">
        <v>7</v>
      </c>
      <c r="S50" s="3">
        <f t="shared" si="7"/>
        <v>0</v>
      </c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3">
        <v>10</v>
      </c>
      <c r="B51" s="3" t="s">
        <v>20</v>
      </c>
      <c r="C51" s="3"/>
      <c r="D51" s="4">
        <v>50</v>
      </c>
      <c r="E51" s="3">
        <f t="shared" si="4"/>
        <v>0</v>
      </c>
      <c r="F51" s="4">
        <v>50</v>
      </c>
      <c r="G51" s="3">
        <f t="shared" si="5"/>
        <v>0</v>
      </c>
      <c r="H51" s="1"/>
      <c r="I51" s="1"/>
      <c r="J51" s="1"/>
      <c r="K51" s="1"/>
      <c r="L51" s="1"/>
      <c r="M51" s="3">
        <v>10</v>
      </c>
      <c r="N51" s="3" t="s">
        <v>20</v>
      </c>
      <c r="O51" s="3"/>
      <c r="P51" s="4">
        <v>50</v>
      </c>
      <c r="Q51" s="3">
        <f t="shared" si="6"/>
        <v>0</v>
      </c>
      <c r="R51" s="4">
        <v>50</v>
      </c>
      <c r="S51" s="3">
        <f t="shared" si="7"/>
        <v>0</v>
      </c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3">
        <v>11</v>
      </c>
      <c r="B52" s="3" t="s">
        <v>21</v>
      </c>
      <c r="C52" s="3"/>
      <c r="D52" s="4">
        <v>0.17199999999999999</v>
      </c>
      <c r="E52" s="3">
        <f t="shared" si="4"/>
        <v>0</v>
      </c>
      <c r="F52" s="4">
        <v>0.188</v>
      </c>
      <c r="G52" s="3">
        <f t="shared" si="5"/>
        <v>0</v>
      </c>
      <c r="H52" s="1"/>
      <c r="I52" s="1"/>
      <c r="J52" s="1"/>
      <c r="K52" s="1"/>
      <c r="L52" s="1"/>
      <c r="M52" s="3">
        <v>11</v>
      </c>
      <c r="N52" s="3" t="s">
        <v>21</v>
      </c>
      <c r="O52" s="3"/>
      <c r="P52" s="4">
        <v>0.17199999999999999</v>
      </c>
      <c r="Q52" s="3">
        <f t="shared" si="6"/>
        <v>0</v>
      </c>
      <c r="R52" s="4">
        <v>0.188</v>
      </c>
      <c r="S52" s="3">
        <f t="shared" si="7"/>
        <v>0</v>
      </c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3">
        <v>12</v>
      </c>
      <c r="B53" s="3" t="s">
        <v>22</v>
      </c>
      <c r="C53" s="3"/>
      <c r="D53" s="4">
        <v>0.3</v>
      </c>
      <c r="E53" s="3">
        <f t="shared" si="4"/>
        <v>0</v>
      </c>
      <c r="F53" s="4">
        <v>28</v>
      </c>
      <c r="G53" s="3">
        <f t="shared" si="5"/>
        <v>0</v>
      </c>
      <c r="H53" s="1"/>
      <c r="I53" s="1"/>
      <c r="J53" s="1"/>
      <c r="K53" s="1"/>
      <c r="L53" s="1"/>
      <c r="M53" s="3">
        <v>12</v>
      </c>
      <c r="N53" s="3" t="s">
        <v>22</v>
      </c>
      <c r="O53" s="3"/>
      <c r="P53" s="4">
        <v>0.3</v>
      </c>
      <c r="Q53" s="3">
        <f t="shared" si="6"/>
        <v>0</v>
      </c>
      <c r="R53" s="4">
        <v>28</v>
      </c>
      <c r="S53" s="3">
        <f t="shared" si="7"/>
        <v>0</v>
      </c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3">
        <v>13</v>
      </c>
      <c r="B54" s="3" t="s">
        <v>23</v>
      </c>
      <c r="C54" s="3"/>
      <c r="D54" s="4">
        <v>0.2</v>
      </c>
      <c r="E54" s="3">
        <f t="shared" si="4"/>
        <v>0</v>
      </c>
      <c r="F54" s="4">
        <v>28</v>
      </c>
      <c r="G54" s="3">
        <f t="shared" si="5"/>
        <v>0</v>
      </c>
      <c r="H54" s="1"/>
      <c r="I54" s="1"/>
      <c r="J54" s="1"/>
      <c r="K54" s="1"/>
      <c r="L54" s="1"/>
      <c r="M54" s="3">
        <v>13</v>
      </c>
      <c r="N54" s="3" t="s">
        <v>23</v>
      </c>
      <c r="O54" s="3"/>
      <c r="P54" s="4">
        <v>0.2</v>
      </c>
      <c r="Q54" s="3">
        <f t="shared" si="6"/>
        <v>0</v>
      </c>
      <c r="R54" s="4">
        <v>28</v>
      </c>
      <c r="S54" s="3">
        <f t="shared" si="7"/>
        <v>0</v>
      </c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3">
        <v>14</v>
      </c>
      <c r="B55" s="3" t="s">
        <v>24</v>
      </c>
      <c r="C55" s="3"/>
      <c r="D55" s="4">
        <v>6</v>
      </c>
      <c r="E55" s="3">
        <f t="shared" si="4"/>
        <v>0</v>
      </c>
      <c r="F55" s="4">
        <v>6</v>
      </c>
      <c r="G55" s="3">
        <f t="shared" si="5"/>
        <v>0</v>
      </c>
      <c r="H55" s="1"/>
      <c r="I55" s="1"/>
      <c r="J55" s="1"/>
      <c r="K55" s="1"/>
      <c r="L55" s="1"/>
      <c r="M55" s="3">
        <v>14</v>
      </c>
      <c r="N55" s="3" t="s">
        <v>24</v>
      </c>
      <c r="O55" s="3"/>
      <c r="P55" s="4">
        <v>6</v>
      </c>
      <c r="Q55" s="3">
        <f t="shared" si="6"/>
        <v>0</v>
      </c>
      <c r="R55" s="4">
        <v>6</v>
      </c>
      <c r="S55" s="3">
        <f t="shared" si="7"/>
        <v>0</v>
      </c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3">
        <v>15</v>
      </c>
      <c r="B56" s="3" t="s">
        <v>25</v>
      </c>
      <c r="C56" s="3"/>
      <c r="D56" s="3">
        <v>0</v>
      </c>
      <c r="E56" s="3">
        <f t="shared" si="4"/>
        <v>0</v>
      </c>
      <c r="F56" s="4">
        <v>20</v>
      </c>
      <c r="G56" s="3">
        <f t="shared" si="5"/>
        <v>0</v>
      </c>
      <c r="H56" s="1"/>
      <c r="I56" s="1"/>
      <c r="J56" s="1"/>
      <c r="K56" s="1"/>
      <c r="L56" s="1"/>
      <c r="M56" s="3">
        <v>15</v>
      </c>
      <c r="N56" s="3" t="s">
        <v>25</v>
      </c>
      <c r="O56" s="3"/>
      <c r="P56" s="3">
        <v>0</v>
      </c>
      <c r="Q56" s="3">
        <f t="shared" si="6"/>
        <v>0</v>
      </c>
      <c r="R56" s="4">
        <v>20</v>
      </c>
      <c r="S56" s="3">
        <f t="shared" si="7"/>
        <v>0</v>
      </c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3">
        <v>16</v>
      </c>
      <c r="B57" s="3" t="s">
        <v>26</v>
      </c>
      <c r="C57" s="3"/>
      <c r="D57" s="3">
        <v>0</v>
      </c>
      <c r="E57" s="3">
        <f t="shared" si="4"/>
        <v>0</v>
      </c>
      <c r="F57" s="3">
        <v>20</v>
      </c>
      <c r="G57" s="3">
        <f t="shared" si="5"/>
        <v>0</v>
      </c>
      <c r="H57" s="1"/>
      <c r="I57" s="1"/>
      <c r="J57" s="1"/>
      <c r="K57" s="1"/>
      <c r="L57" s="1"/>
      <c r="M57" s="3">
        <v>16</v>
      </c>
      <c r="N57" s="3" t="s">
        <v>26</v>
      </c>
      <c r="O57" s="3"/>
      <c r="P57" s="3">
        <v>0</v>
      </c>
      <c r="Q57" s="3">
        <f t="shared" si="6"/>
        <v>0</v>
      </c>
      <c r="R57" s="3">
        <v>20</v>
      </c>
      <c r="S57" s="3">
        <f t="shared" si="7"/>
        <v>0</v>
      </c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3">
        <v>17</v>
      </c>
      <c r="B58" s="3" t="s">
        <v>27</v>
      </c>
      <c r="C58" s="3"/>
      <c r="D58" s="3">
        <v>0</v>
      </c>
      <c r="E58" s="3">
        <f t="shared" si="4"/>
        <v>0</v>
      </c>
      <c r="F58" s="3">
        <v>75</v>
      </c>
      <c r="G58" s="3">
        <f t="shared" si="5"/>
        <v>0</v>
      </c>
      <c r="H58" s="1"/>
      <c r="I58" s="1"/>
      <c r="J58" s="1"/>
      <c r="K58" s="1"/>
      <c r="L58" s="1"/>
      <c r="M58" s="3">
        <v>17</v>
      </c>
      <c r="N58" s="3" t="s">
        <v>27</v>
      </c>
      <c r="O58" s="3"/>
      <c r="P58" s="3">
        <v>0</v>
      </c>
      <c r="Q58" s="3">
        <f t="shared" si="6"/>
        <v>0</v>
      </c>
      <c r="R58" s="3">
        <v>75</v>
      </c>
      <c r="S58" s="3">
        <f t="shared" si="7"/>
        <v>0</v>
      </c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3">
        <v>18</v>
      </c>
      <c r="B59" s="3" t="s">
        <v>28</v>
      </c>
      <c r="C59" s="3"/>
      <c r="D59" s="3">
        <v>0</v>
      </c>
      <c r="E59" s="3">
        <f t="shared" si="4"/>
        <v>0</v>
      </c>
      <c r="F59" s="3">
        <v>20</v>
      </c>
      <c r="G59" s="3">
        <f t="shared" si="5"/>
        <v>0</v>
      </c>
      <c r="H59" s="1"/>
      <c r="I59" s="1"/>
      <c r="J59" s="1"/>
      <c r="K59" s="1"/>
      <c r="L59" s="1"/>
      <c r="M59" s="3">
        <v>18</v>
      </c>
      <c r="N59" s="3" t="s">
        <v>28</v>
      </c>
      <c r="O59" s="3"/>
      <c r="P59" s="3">
        <v>0</v>
      </c>
      <c r="Q59" s="3">
        <f t="shared" si="6"/>
        <v>0</v>
      </c>
      <c r="R59" s="3">
        <v>20</v>
      </c>
      <c r="S59" s="3">
        <f t="shared" si="7"/>
        <v>0</v>
      </c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3">
        <v>19</v>
      </c>
      <c r="B60" s="3" t="s">
        <v>29</v>
      </c>
      <c r="C60" s="3"/>
      <c r="D60" s="3">
        <v>20</v>
      </c>
      <c r="E60" s="3">
        <f t="shared" si="4"/>
        <v>0</v>
      </c>
      <c r="F60" s="3">
        <v>20</v>
      </c>
      <c r="G60" s="3">
        <f t="shared" si="5"/>
        <v>0</v>
      </c>
      <c r="H60" s="1"/>
      <c r="I60" s="1"/>
      <c r="J60" s="1"/>
      <c r="K60" s="1"/>
      <c r="L60" s="1"/>
      <c r="M60" s="3">
        <v>19</v>
      </c>
      <c r="N60" s="3" t="s">
        <v>29</v>
      </c>
      <c r="O60" s="3"/>
      <c r="P60" s="3">
        <v>20</v>
      </c>
      <c r="Q60" s="3">
        <f t="shared" si="6"/>
        <v>0</v>
      </c>
      <c r="R60" s="3">
        <v>20</v>
      </c>
      <c r="S60" s="3">
        <f t="shared" si="7"/>
        <v>0</v>
      </c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3">
        <v>20</v>
      </c>
      <c r="B61" s="3" t="s">
        <v>69</v>
      </c>
      <c r="C61" s="3"/>
      <c r="D61" s="4">
        <v>10</v>
      </c>
      <c r="E61" s="3">
        <f t="shared" si="4"/>
        <v>0</v>
      </c>
      <c r="F61" s="4">
        <v>72</v>
      </c>
      <c r="G61" s="3">
        <f t="shared" si="5"/>
        <v>0</v>
      </c>
      <c r="H61" s="1"/>
      <c r="I61" s="1"/>
      <c r="J61" s="1"/>
      <c r="K61" s="1"/>
      <c r="L61" s="1"/>
      <c r="M61" s="3">
        <v>20</v>
      </c>
      <c r="N61" s="3" t="s">
        <v>69</v>
      </c>
      <c r="O61" s="3"/>
      <c r="P61" s="4">
        <v>10</v>
      </c>
      <c r="Q61" s="3">
        <f t="shared" si="6"/>
        <v>0</v>
      </c>
      <c r="R61" s="4">
        <v>72</v>
      </c>
      <c r="S61" s="3">
        <f t="shared" si="7"/>
        <v>0</v>
      </c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3">
        <v>21</v>
      </c>
      <c r="B62" s="3" t="s">
        <v>68</v>
      </c>
      <c r="C62" s="3"/>
      <c r="D62" s="4">
        <v>0.35</v>
      </c>
      <c r="E62" s="3">
        <f t="shared" si="4"/>
        <v>0</v>
      </c>
      <c r="F62" s="4">
        <v>26</v>
      </c>
      <c r="G62" s="3">
        <f t="shared" si="5"/>
        <v>0</v>
      </c>
      <c r="H62" s="1"/>
      <c r="I62" s="1"/>
      <c r="J62" s="1"/>
      <c r="K62" s="1"/>
      <c r="L62" s="1"/>
      <c r="M62" s="3">
        <v>21</v>
      </c>
      <c r="N62" s="3" t="s">
        <v>68</v>
      </c>
      <c r="O62" s="3"/>
      <c r="P62" s="4">
        <v>0.35</v>
      </c>
      <c r="Q62" s="3">
        <f t="shared" si="6"/>
        <v>0</v>
      </c>
      <c r="R62" s="4">
        <v>26</v>
      </c>
      <c r="S62" s="3">
        <f t="shared" si="7"/>
        <v>0</v>
      </c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3">
        <v>22</v>
      </c>
      <c r="B63" s="3" t="s">
        <v>30</v>
      </c>
      <c r="C63" s="3"/>
      <c r="D63" s="4">
        <v>45.5</v>
      </c>
      <c r="E63" s="3">
        <f t="shared" si="4"/>
        <v>0</v>
      </c>
      <c r="F63" s="4">
        <v>47.8</v>
      </c>
      <c r="G63" s="3">
        <f t="shared" si="5"/>
        <v>0</v>
      </c>
      <c r="H63" s="1"/>
      <c r="I63" s="1"/>
      <c r="J63" s="1"/>
      <c r="K63" s="1"/>
      <c r="L63" s="1"/>
      <c r="M63" s="3">
        <v>22</v>
      </c>
      <c r="N63" s="3" t="s">
        <v>30</v>
      </c>
      <c r="O63" s="3"/>
      <c r="P63" s="4">
        <v>45.5</v>
      </c>
      <c r="Q63" s="3">
        <f t="shared" si="6"/>
        <v>0</v>
      </c>
      <c r="R63" s="4">
        <v>47.8</v>
      </c>
      <c r="S63" s="3">
        <f t="shared" si="7"/>
        <v>0</v>
      </c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3">
        <v>23</v>
      </c>
      <c r="B64" s="3" t="s">
        <v>31</v>
      </c>
      <c r="C64" s="3"/>
      <c r="D64" s="4">
        <v>30.8</v>
      </c>
      <c r="E64" s="3">
        <f t="shared" si="4"/>
        <v>0</v>
      </c>
      <c r="F64" s="4">
        <v>32.4</v>
      </c>
      <c r="G64" s="3">
        <f t="shared" si="5"/>
        <v>0</v>
      </c>
      <c r="H64" s="1"/>
      <c r="I64" s="1"/>
      <c r="J64" s="1"/>
      <c r="K64" s="1"/>
      <c r="L64" s="1"/>
      <c r="M64" s="3">
        <v>23</v>
      </c>
      <c r="N64" s="3" t="s">
        <v>31</v>
      </c>
      <c r="O64" s="3"/>
      <c r="P64" s="4">
        <v>30.8</v>
      </c>
      <c r="Q64" s="3">
        <f t="shared" si="6"/>
        <v>0</v>
      </c>
      <c r="R64" s="4">
        <v>32.4</v>
      </c>
      <c r="S64" s="3">
        <f t="shared" si="7"/>
        <v>0</v>
      </c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3">
        <v>24</v>
      </c>
      <c r="B65" s="3" t="s">
        <v>32</v>
      </c>
      <c r="C65" s="3"/>
      <c r="D65" s="4">
        <v>0.24</v>
      </c>
      <c r="E65" s="3">
        <f t="shared" si="4"/>
        <v>0</v>
      </c>
      <c r="F65" s="4">
        <v>0.26</v>
      </c>
      <c r="G65" s="3">
        <f t="shared" si="5"/>
        <v>0</v>
      </c>
      <c r="H65" s="1"/>
      <c r="I65" s="1"/>
      <c r="J65" s="1"/>
      <c r="K65" s="1"/>
      <c r="L65" s="1"/>
      <c r="M65" s="3">
        <v>24</v>
      </c>
      <c r="N65" s="3" t="s">
        <v>32</v>
      </c>
      <c r="O65" s="3"/>
      <c r="P65" s="4">
        <v>0.24</v>
      </c>
      <c r="Q65" s="3">
        <f t="shared" si="6"/>
        <v>0</v>
      </c>
      <c r="R65" s="4">
        <v>0.26</v>
      </c>
      <c r="S65" s="3">
        <f t="shared" si="7"/>
        <v>0</v>
      </c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6" t="s">
        <v>33</v>
      </c>
      <c r="B66" s="13"/>
      <c r="C66" s="13"/>
      <c r="D66" s="14"/>
      <c r="E66" s="3">
        <f>SUM(E42:E65)</f>
        <v>0</v>
      </c>
      <c r="F66" s="3"/>
      <c r="G66" s="3">
        <f>SUM(G42:G65)</f>
        <v>0</v>
      </c>
      <c r="H66" s="1"/>
      <c r="I66" s="1"/>
      <c r="J66" s="1"/>
      <c r="K66" s="1"/>
      <c r="L66" s="1"/>
      <c r="M66" s="16" t="s">
        <v>33</v>
      </c>
      <c r="N66" s="13"/>
      <c r="O66" s="13"/>
      <c r="P66" s="14"/>
      <c r="Q66" s="3">
        <f>SUM(Q42:Q65)</f>
        <v>0</v>
      </c>
      <c r="R66" s="3"/>
      <c r="S66" s="3">
        <f>SUM(S42:S65)</f>
        <v>0</v>
      </c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6" t="s">
        <v>34</v>
      </c>
      <c r="B67" s="13"/>
      <c r="C67" s="13"/>
      <c r="D67" s="14"/>
      <c r="E67" s="5">
        <f>E66/1000</f>
        <v>0</v>
      </c>
      <c r="F67" s="3"/>
      <c r="G67" s="5">
        <f>G66/1000</f>
        <v>0</v>
      </c>
      <c r="H67" s="1">
        <f>G67/4.5</f>
        <v>0</v>
      </c>
      <c r="I67" s="1"/>
      <c r="J67" s="1"/>
      <c r="K67" s="1"/>
      <c r="L67" s="1"/>
      <c r="M67" s="16" t="s">
        <v>34</v>
      </c>
      <c r="N67" s="13"/>
      <c r="O67" s="13"/>
      <c r="P67" s="14"/>
      <c r="Q67" s="5">
        <f>Q66/1000</f>
        <v>0</v>
      </c>
      <c r="R67" s="3"/>
      <c r="S67" s="5">
        <f>S66/1000</f>
        <v>0</v>
      </c>
      <c r="T67" s="1">
        <f>S67/4.5</f>
        <v>0</v>
      </c>
      <c r="U67" s="1"/>
      <c r="V67" s="1"/>
      <c r="W67" s="1"/>
      <c r="X67" s="1"/>
      <c r="Y67" s="1"/>
      <c r="Z67" s="1"/>
    </row>
    <row r="68" spans="1:26" ht="15.75" customHeight="1" x14ac:dyDescent="0.25">
      <c r="A68" s="17" t="s">
        <v>35</v>
      </c>
      <c r="B68" s="18"/>
      <c r="C68" s="18"/>
      <c r="D68" s="19"/>
      <c r="E68" s="15" t="s">
        <v>36</v>
      </c>
      <c r="F68" s="13"/>
      <c r="G68" s="14"/>
      <c r="H68" s="1"/>
      <c r="I68" s="1"/>
      <c r="J68" s="1"/>
      <c r="K68" s="1"/>
      <c r="L68" s="1"/>
      <c r="M68" s="17" t="s">
        <v>35</v>
      </c>
      <c r="N68" s="18"/>
      <c r="O68" s="18"/>
      <c r="P68" s="19"/>
      <c r="Q68" s="15" t="s">
        <v>36</v>
      </c>
      <c r="R68" s="13"/>
      <c r="S68" s="14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20"/>
      <c r="B69" s="21"/>
      <c r="C69" s="21"/>
      <c r="D69" s="22"/>
      <c r="E69" s="15" t="s">
        <v>37</v>
      </c>
      <c r="F69" s="13"/>
      <c r="G69" s="14"/>
      <c r="H69" s="1"/>
      <c r="I69" s="1"/>
      <c r="J69" s="1"/>
      <c r="K69" s="1"/>
      <c r="L69" s="1"/>
      <c r="M69" s="20"/>
      <c r="N69" s="21"/>
      <c r="O69" s="21"/>
      <c r="P69" s="22"/>
      <c r="Q69" s="15" t="s">
        <v>37</v>
      </c>
      <c r="R69" s="13"/>
      <c r="S69" s="14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6" t="s">
        <v>38</v>
      </c>
      <c r="B70" s="13"/>
      <c r="C70" s="13"/>
      <c r="D70" s="14"/>
      <c r="E70" s="15" t="s">
        <v>39</v>
      </c>
      <c r="F70" s="13"/>
      <c r="G70" s="14"/>
      <c r="H70" s="1"/>
      <c r="I70" s="1"/>
      <c r="J70" s="1"/>
      <c r="K70" s="1"/>
      <c r="L70" s="1"/>
      <c r="M70" s="16" t="s">
        <v>38</v>
      </c>
      <c r="N70" s="13"/>
      <c r="O70" s="13"/>
      <c r="P70" s="14"/>
      <c r="Q70" s="15" t="s">
        <v>39</v>
      </c>
      <c r="R70" s="13"/>
      <c r="S70" s="14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2" t="s">
        <v>40</v>
      </c>
      <c r="B72" s="13"/>
      <c r="C72" s="13"/>
      <c r="D72" s="13"/>
      <c r="E72" s="13"/>
      <c r="F72" s="14"/>
      <c r="G72" s="5">
        <f>E67*1+G67*1</f>
        <v>0</v>
      </c>
      <c r="H72" s="1">
        <f>G72/40</f>
        <v>0</v>
      </c>
      <c r="I72" s="1"/>
      <c r="J72" s="1"/>
      <c r="K72" s="1"/>
      <c r="L72" s="1"/>
      <c r="M72" s="12" t="s">
        <v>40</v>
      </c>
      <c r="N72" s="13"/>
      <c r="O72" s="13"/>
      <c r="P72" s="13"/>
      <c r="Q72" s="13"/>
      <c r="R72" s="14"/>
      <c r="S72" s="5">
        <f>Q67*1+S67*1</f>
        <v>0</v>
      </c>
      <c r="T72" s="1">
        <f>S72/40</f>
        <v>0</v>
      </c>
      <c r="U72" s="1"/>
      <c r="V72" s="1"/>
      <c r="W72" s="1"/>
      <c r="X72" s="1"/>
      <c r="Y72" s="1"/>
      <c r="Z72" s="1"/>
    </row>
    <row r="73" spans="1:26" ht="15.75" customHeight="1" x14ac:dyDescent="0.25">
      <c r="A73" s="12" t="s">
        <v>41</v>
      </c>
      <c r="B73" s="13"/>
      <c r="C73" s="13"/>
      <c r="D73" s="13"/>
      <c r="E73" s="13"/>
      <c r="F73" s="14"/>
      <c r="G73" s="5">
        <f>1.25*(E67*24+G67*1)</f>
        <v>0</v>
      </c>
      <c r="H73" s="1">
        <f>G73/40</f>
        <v>0</v>
      </c>
      <c r="I73" s="1"/>
      <c r="J73" s="1"/>
      <c r="K73" s="1"/>
      <c r="L73" s="1"/>
      <c r="M73" s="12" t="s">
        <v>41</v>
      </c>
      <c r="N73" s="13"/>
      <c r="O73" s="13"/>
      <c r="P73" s="13"/>
      <c r="Q73" s="13"/>
      <c r="R73" s="14"/>
      <c r="S73" s="5">
        <f>1.25*(Q67*24+S67*1)</f>
        <v>0</v>
      </c>
      <c r="T73" s="1">
        <f>S73/40</f>
        <v>0</v>
      </c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</sheetData>
  <mergeCells count="56">
    <mergeCell ref="A72:F72"/>
    <mergeCell ref="M72:R72"/>
    <mergeCell ref="A73:F73"/>
    <mergeCell ref="M73:R73"/>
    <mergeCell ref="Q68:S68"/>
    <mergeCell ref="E69:G69"/>
    <mergeCell ref="Q69:S69"/>
    <mergeCell ref="A70:D70"/>
    <mergeCell ref="E70:G70"/>
    <mergeCell ref="M70:P70"/>
    <mergeCell ref="Q70:S70"/>
    <mergeCell ref="A66:D66"/>
    <mergeCell ref="M66:P66"/>
    <mergeCell ref="A67:D67"/>
    <mergeCell ref="M67:P67"/>
    <mergeCell ref="A68:D69"/>
    <mergeCell ref="E68:G68"/>
    <mergeCell ref="M68:P69"/>
    <mergeCell ref="A38:G38"/>
    <mergeCell ref="M38:S38"/>
    <mergeCell ref="A39:C40"/>
    <mergeCell ref="D39:G39"/>
    <mergeCell ref="M39:O40"/>
    <mergeCell ref="P39:S39"/>
    <mergeCell ref="D40:E40"/>
    <mergeCell ref="F40:G40"/>
    <mergeCell ref="P40:Q40"/>
    <mergeCell ref="R40:S40"/>
    <mergeCell ref="P2:S2"/>
    <mergeCell ref="P3:Q3"/>
    <mergeCell ref="R3:S3"/>
    <mergeCell ref="A1:G1"/>
    <mergeCell ref="M1:S1"/>
    <mergeCell ref="A2:C3"/>
    <mergeCell ref="D2:G2"/>
    <mergeCell ref="M2:O3"/>
    <mergeCell ref="D3:E3"/>
    <mergeCell ref="F3:G3"/>
    <mergeCell ref="A29:D29"/>
    <mergeCell ref="M29:P29"/>
    <mergeCell ref="A30:D30"/>
    <mergeCell ref="M30:P30"/>
    <mergeCell ref="A31:D32"/>
    <mergeCell ref="M35:R35"/>
    <mergeCell ref="M36:R36"/>
    <mergeCell ref="E31:G31"/>
    <mergeCell ref="E32:G32"/>
    <mergeCell ref="A33:D33"/>
    <mergeCell ref="E33:G33"/>
    <mergeCell ref="A35:F35"/>
    <mergeCell ref="A36:F36"/>
    <mergeCell ref="Q31:S31"/>
    <mergeCell ref="Q32:S32"/>
    <mergeCell ref="M31:P32"/>
    <mergeCell ref="M33:P33"/>
    <mergeCell ref="Q33:S33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H813"/>
  <sheetViews>
    <sheetView workbookViewId="0">
      <selection activeCell="C8" sqref="C8"/>
    </sheetView>
  </sheetViews>
  <sheetFormatPr defaultColWidth="14.42578125" defaultRowHeight="15" customHeight="1" x14ac:dyDescent="0.25"/>
  <cols>
    <col min="1" max="1" width="4.140625" customWidth="1"/>
    <col min="2" max="2" width="18.140625" customWidth="1"/>
    <col min="3" max="3" width="7.5703125" customWidth="1"/>
    <col min="4" max="4" width="29.7109375" customWidth="1"/>
    <col min="5" max="5" width="27.42578125" customWidth="1"/>
    <col min="6" max="8" width="14.5703125" customWidth="1"/>
    <col min="9" max="9" width="10.42578125" customWidth="1"/>
    <col min="10" max="26" width="7.5703125" customWidth="1"/>
  </cols>
  <sheetData>
    <row r="1" spans="1:7" ht="15.75" customHeight="1" x14ac:dyDescent="0.25">
      <c r="A1" s="23" t="s">
        <v>42</v>
      </c>
      <c r="B1" s="24"/>
      <c r="C1" s="24"/>
      <c r="D1" s="24"/>
      <c r="E1" s="24"/>
      <c r="F1" s="24"/>
      <c r="G1" s="25"/>
    </row>
    <row r="2" spans="1:7" ht="15.75" customHeight="1" x14ac:dyDescent="0.25">
      <c r="A2" s="27" t="s">
        <v>0</v>
      </c>
      <c r="B2" s="18"/>
      <c r="C2" s="19"/>
      <c r="D2" s="28" t="s">
        <v>1</v>
      </c>
      <c r="E2" s="13"/>
      <c r="F2" s="13"/>
      <c r="G2" s="14"/>
    </row>
    <row r="3" spans="1:7" ht="15.75" customHeight="1" x14ac:dyDescent="0.25">
      <c r="A3" s="20"/>
      <c r="B3" s="21"/>
      <c r="C3" s="22"/>
      <c r="D3" s="28" t="s">
        <v>2</v>
      </c>
      <c r="E3" s="14"/>
      <c r="F3" s="28" t="s">
        <v>3</v>
      </c>
      <c r="G3" s="14"/>
    </row>
    <row r="4" spans="1:7" ht="15.75" customHeight="1" x14ac:dyDescent="0.25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</row>
    <row r="5" spans="1:7" ht="15.75" customHeight="1" x14ac:dyDescent="0.25">
      <c r="A5" s="6">
        <v>1</v>
      </c>
      <c r="B5" s="6" t="s">
        <v>11</v>
      </c>
      <c r="C5" s="6">
        <v>1</v>
      </c>
      <c r="D5" s="2">
        <v>250</v>
      </c>
      <c r="E5" s="6">
        <f t="shared" ref="E5:E24" si="0">C5*D5</f>
        <v>250</v>
      </c>
      <c r="F5" s="2">
        <v>250</v>
      </c>
      <c r="G5" s="6">
        <f t="shared" ref="G5:G24" si="1">C5*F5</f>
        <v>250</v>
      </c>
    </row>
    <row r="6" spans="1:7" ht="15.75" customHeight="1" x14ac:dyDescent="0.25">
      <c r="A6" s="6">
        <v>2</v>
      </c>
      <c r="B6" s="6" t="s">
        <v>31</v>
      </c>
      <c r="C6" s="6">
        <v>0</v>
      </c>
      <c r="D6" s="7">
        <v>47</v>
      </c>
      <c r="E6" s="6">
        <f t="shared" si="0"/>
        <v>0</v>
      </c>
      <c r="F6" s="7">
        <v>47</v>
      </c>
      <c r="G6" s="6">
        <f t="shared" si="1"/>
        <v>0</v>
      </c>
    </row>
    <row r="7" spans="1:7" ht="15.75" customHeight="1" x14ac:dyDescent="0.25">
      <c r="A7" s="6">
        <v>3</v>
      </c>
      <c r="B7" s="6" t="s">
        <v>13</v>
      </c>
      <c r="C7" s="6">
        <v>6</v>
      </c>
      <c r="D7" s="6">
        <v>220</v>
      </c>
      <c r="E7" s="6">
        <f t="shared" si="0"/>
        <v>1320</v>
      </c>
      <c r="F7" s="6">
        <v>320</v>
      </c>
      <c r="G7" s="6">
        <f t="shared" si="1"/>
        <v>1920</v>
      </c>
    </row>
    <row r="8" spans="1:7" ht="15.75" customHeight="1" x14ac:dyDescent="0.25">
      <c r="A8" s="6">
        <v>4</v>
      </c>
      <c r="B8" s="2" t="s">
        <v>12</v>
      </c>
      <c r="C8" s="6">
        <v>54</v>
      </c>
      <c r="D8" s="6">
        <v>150</v>
      </c>
      <c r="E8" s="6">
        <f t="shared" si="0"/>
        <v>8100</v>
      </c>
      <c r="F8" s="6">
        <v>150</v>
      </c>
      <c r="G8" s="6">
        <f t="shared" si="1"/>
        <v>8100</v>
      </c>
    </row>
    <row r="9" spans="1:7" ht="15.75" customHeight="1" x14ac:dyDescent="0.25">
      <c r="A9" s="6">
        <v>5</v>
      </c>
      <c r="B9" s="6" t="s">
        <v>14</v>
      </c>
      <c r="C9" s="6">
        <v>201</v>
      </c>
      <c r="D9" s="7">
        <v>0.17</v>
      </c>
      <c r="E9" s="6">
        <f t="shared" si="0"/>
        <v>34.17</v>
      </c>
      <c r="F9" s="7">
        <v>0.18</v>
      </c>
      <c r="G9" s="6">
        <f t="shared" si="1"/>
        <v>36.18</v>
      </c>
    </row>
    <row r="10" spans="1:7" ht="15.75" customHeight="1" x14ac:dyDescent="0.25">
      <c r="A10" s="6">
        <v>6</v>
      </c>
      <c r="B10" s="6" t="s">
        <v>43</v>
      </c>
      <c r="C10" s="6">
        <v>286</v>
      </c>
      <c r="D10" s="6">
        <v>0.15</v>
      </c>
      <c r="E10" s="6">
        <f t="shared" si="0"/>
        <v>42.9</v>
      </c>
      <c r="F10" s="6">
        <v>0.16</v>
      </c>
      <c r="G10" s="6">
        <f t="shared" si="1"/>
        <v>45.76</v>
      </c>
    </row>
    <row r="11" spans="1:7" ht="15.75" customHeight="1" x14ac:dyDescent="0.25">
      <c r="A11" s="6">
        <v>7</v>
      </c>
      <c r="B11" s="6" t="s">
        <v>15</v>
      </c>
      <c r="C11" s="6">
        <v>35</v>
      </c>
      <c r="D11" s="7">
        <v>0.16</v>
      </c>
      <c r="E11" s="6">
        <f t="shared" si="0"/>
        <v>5.6000000000000005</v>
      </c>
      <c r="F11" s="7">
        <v>0.2</v>
      </c>
      <c r="G11" s="6">
        <f t="shared" si="1"/>
        <v>7</v>
      </c>
    </row>
    <row r="12" spans="1:7" ht="15.75" customHeight="1" x14ac:dyDescent="0.25">
      <c r="A12" s="6">
        <v>8</v>
      </c>
      <c r="B12" s="6" t="s">
        <v>16</v>
      </c>
      <c r="C12" s="6">
        <v>0</v>
      </c>
      <c r="D12" s="7">
        <v>0.16</v>
      </c>
      <c r="E12" s="6">
        <f t="shared" si="0"/>
        <v>0</v>
      </c>
      <c r="F12" s="7">
        <v>0.2</v>
      </c>
      <c r="G12" s="6">
        <f t="shared" si="1"/>
        <v>0</v>
      </c>
    </row>
    <row r="13" spans="1:7" ht="15.75" customHeight="1" x14ac:dyDescent="0.25">
      <c r="A13" s="6">
        <v>9</v>
      </c>
      <c r="B13" s="6" t="s">
        <v>17</v>
      </c>
      <c r="C13" s="6">
        <v>46</v>
      </c>
      <c r="D13" s="7">
        <v>0.16</v>
      </c>
      <c r="E13" s="6">
        <f t="shared" si="0"/>
        <v>7.36</v>
      </c>
      <c r="F13" s="7">
        <v>0.2</v>
      </c>
      <c r="G13" s="6">
        <f t="shared" si="1"/>
        <v>9.2000000000000011</v>
      </c>
    </row>
    <row r="14" spans="1:7" ht="15.75" customHeight="1" x14ac:dyDescent="0.25">
      <c r="A14" s="6">
        <v>10</v>
      </c>
      <c r="B14" s="6" t="s">
        <v>21</v>
      </c>
      <c r="C14" s="6">
        <v>70</v>
      </c>
      <c r="D14" s="7">
        <v>0.17</v>
      </c>
      <c r="E14" s="6">
        <f t="shared" si="0"/>
        <v>11.9</v>
      </c>
      <c r="F14" s="7">
        <v>0.18</v>
      </c>
      <c r="G14" s="6">
        <f t="shared" si="1"/>
        <v>12.6</v>
      </c>
    </row>
    <row r="15" spans="1:7" ht="15.75" customHeight="1" x14ac:dyDescent="0.25">
      <c r="A15" s="6">
        <v>11</v>
      </c>
      <c r="B15" s="6" t="s">
        <v>20</v>
      </c>
      <c r="C15" s="6">
        <v>5</v>
      </c>
      <c r="D15" s="7">
        <v>50</v>
      </c>
      <c r="E15" s="6">
        <f t="shared" si="0"/>
        <v>250</v>
      </c>
      <c r="F15" s="7">
        <v>50</v>
      </c>
      <c r="G15" s="6">
        <f t="shared" si="1"/>
        <v>250</v>
      </c>
    </row>
    <row r="16" spans="1:7" ht="15.75" customHeight="1" x14ac:dyDescent="0.25">
      <c r="A16" s="6">
        <v>12</v>
      </c>
      <c r="B16" s="6" t="s">
        <v>19</v>
      </c>
      <c r="C16" s="6">
        <v>137</v>
      </c>
      <c r="D16" s="7">
        <v>0.4</v>
      </c>
      <c r="E16" s="6">
        <f t="shared" si="0"/>
        <v>54.800000000000004</v>
      </c>
      <c r="F16" s="7">
        <v>0.4</v>
      </c>
      <c r="G16" s="6">
        <f t="shared" si="1"/>
        <v>54.800000000000004</v>
      </c>
    </row>
    <row r="17" spans="1:8" ht="15.75" customHeight="1" x14ac:dyDescent="0.25">
      <c r="A17" s="6">
        <v>13</v>
      </c>
      <c r="B17" s="8" t="s">
        <v>22</v>
      </c>
      <c r="C17" s="6">
        <v>27</v>
      </c>
      <c r="D17" s="8">
        <v>0.18</v>
      </c>
      <c r="E17" s="6">
        <f t="shared" si="0"/>
        <v>4.8599999999999994</v>
      </c>
      <c r="F17" s="8">
        <v>0.18</v>
      </c>
      <c r="G17" s="6">
        <f t="shared" si="1"/>
        <v>4.8599999999999994</v>
      </c>
    </row>
    <row r="18" spans="1:8" ht="15.75" customHeight="1" x14ac:dyDescent="0.25">
      <c r="A18" s="6">
        <v>14</v>
      </c>
      <c r="B18" s="8" t="s">
        <v>23</v>
      </c>
      <c r="C18" s="6">
        <v>0</v>
      </c>
      <c r="D18" s="8">
        <v>0.38</v>
      </c>
      <c r="E18" s="6">
        <f t="shared" si="0"/>
        <v>0</v>
      </c>
      <c r="F18" s="8">
        <v>0.38</v>
      </c>
      <c r="G18" s="6">
        <f t="shared" si="1"/>
        <v>0</v>
      </c>
    </row>
    <row r="19" spans="1:8" ht="15.75" customHeight="1" x14ac:dyDescent="0.25">
      <c r="A19" s="6">
        <v>15</v>
      </c>
      <c r="B19" s="6" t="s">
        <v>18</v>
      </c>
      <c r="C19" s="6">
        <v>0</v>
      </c>
      <c r="D19" s="6">
        <v>14</v>
      </c>
      <c r="E19" s="6">
        <f t="shared" si="0"/>
        <v>0</v>
      </c>
      <c r="F19" s="6">
        <v>14</v>
      </c>
      <c r="G19" s="6">
        <f t="shared" si="1"/>
        <v>0</v>
      </c>
    </row>
    <row r="20" spans="1:8" ht="15.75" customHeight="1" x14ac:dyDescent="0.25">
      <c r="A20" s="6">
        <v>16</v>
      </c>
      <c r="B20" s="6" t="s">
        <v>44</v>
      </c>
      <c r="C20" s="6">
        <v>131</v>
      </c>
      <c r="D20" s="6">
        <v>10</v>
      </c>
      <c r="E20" s="6">
        <f t="shared" si="0"/>
        <v>1310</v>
      </c>
      <c r="F20" s="6">
        <v>10</v>
      </c>
      <c r="G20" s="6">
        <f t="shared" si="1"/>
        <v>1310</v>
      </c>
    </row>
    <row r="21" spans="1:8" ht="15.75" customHeight="1" x14ac:dyDescent="0.25">
      <c r="A21" s="6">
        <v>17</v>
      </c>
      <c r="B21" s="6" t="s">
        <v>29</v>
      </c>
      <c r="C21" s="6">
        <v>0</v>
      </c>
      <c r="D21" s="6">
        <v>26</v>
      </c>
      <c r="E21" s="6">
        <f t="shared" si="0"/>
        <v>0</v>
      </c>
      <c r="F21" s="6">
        <v>26</v>
      </c>
      <c r="G21" s="6">
        <f t="shared" si="1"/>
        <v>0</v>
      </c>
    </row>
    <row r="22" spans="1:8" ht="15.75" customHeight="1" x14ac:dyDescent="0.25">
      <c r="A22" s="6">
        <v>18</v>
      </c>
      <c r="B22" s="6" t="s">
        <v>45</v>
      </c>
      <c r="C22" s="6">
        <v>22</v>
      </c>
      <c r="D22" s="6">
        <v>26</v>
      </c>
      <c r="E22" s="6">
        <f t="shared" si="0"/>
        <v>572</v>
      </c>
      <c r="F22" s="6">
        <v>26</v>
      </c>
      <c r="G22" s="6">
        <f t="shared" si="1"/>
        <v>572</v>
      </c>
    </row>
    <row r="23" spans="1:8" ht="15.75" customHeight="1" x14ac:dyDescent="0.25">
      <c r="A23" s="6">
        <v>19</v>
      </c>
      <c r="B23" s="6" t="s">
        <v>27</v>
      </c>
      <c r="C23" s="6">
        <v>58</v>
      </c>
      <c r="D23" s="6">
        <v>0</v>
      </c>
      <c r="E23" s="6">
        <f t="shared" si="0"/>
        <v>0</v>
      </c>
      <c r="F23" s="6">
        <v>75</v>
      </c>
      <c r="G23" s="6">
        <f t="shared" si="1"/>
        <v>4350</v>
      </c>
    </row>
    <row r="24" spans="1:8" ht="15.75" customHeight="1" x14ac:dyDescent="0.25">
      <c r="A24" s="6">
        <v>20</v>
      </c>
      <c r="B24" s="6" t="s">
        <v>26</v>
      </c>
      <c r="C24" s="6">
        <v>0</v>
      </c>
      <c r="D24" s="6">
        <v>0</v>
      </c>
      <c r="E24" s="6">
        <f t="shared" si="0"/>
        <v>0</v>
      </c>
      <c r="F24" s="6">
        <v>25</v>
      </c>
      <c r="G24" s="6">
        <f t="shared" si="1"/>
        <v>0</v>
      </c>
    </row>
    <row r="25" spans="1:8" ht="15.75" customHeight="1" x14ac:dyDescent="0.25">
      <c r="A25" s="28" t="s">
        <v>46</v>
      </c>
      <c r="B25" s="13"/>
      <c r="C25" s="13"/>
      <c r="D25" s="14"/>
      <c r="E25" s="6">
        <f>SUM(E5:E24)</f>
        <v>11963.59</v>
      </c>
      <c r="F25" s="6"/>
      <c r="G25" s="6">
        <f>SUM(G5:G24)</f>
        <v>16922.400000000001</v>
      </c>
    </row>
    <row r="26" spans="1:8" ht="15.75" customHeight="1" x14ac:dyDescent="0.25">
      <c r="A26" s="28" t="s">
        <v>47</v>
      </c>
      <c r="B26" s="13"/>
      <c r="C26" s="13"/>
      <c r="D26" s="14"/>
      <c r="E26" s="9">
        <f>E25/1000</f>
        <v>11.96359</v>
      </c>
      <c r="F26" s="6"/>
      <c r="G26" s="9">
        <f>G25/1000</f>
        <v>16.922400000000003</v>
      </c>
      <c r="H26" s="10">
        <f>G26/4.5</f>
        <v>3.7605333333333339</v>
      </c>
    </row>
    <row r="27" spans="1:8" ht="15.75" customHeight="1" x14ac:dyDescent="0.25">
      <c r="A27" s="27" t="s">
        <v>35</v>
      </c>
      <c r="B27" s="18"/>
      <c r="C27" s="18"/>
      <c r="D27" s="19"/>
      <c r="E27" s="29" t="s">
        <v>36</v>
      </c>
      <c r="F27" s="13"/>
      <c r="G27" s="14"/>
    </row>
    <row r="28" spans="1:8" ht="15.75" customHeight="1" x14ac:dyDescent="0.25">
      <c r="A28" s="20"/>
      <c r="B28" s="21"/>
      <c r="C28" s="21"/>
      <c r="D28" s="22"/>
      <c r="E28" s="29" t="s">
        <v>48</v>
      </c>
      <c r="F28" s="13"/>
      <c r="G28" s="14"/>
    </row>
    <row r="29" spans="1:8" ht="15.75" customHeight="1" x14ac:dyDescent="0.25">
      <c r="A29" s="16" t="s">
        <v>49</v>
      </c>
      <c r="B29" s="13"/>
      <c r="C29" s="13"/>
      <c r="D29" s="14"/>
      <c r="E29" s="15" t="s">
        <v>50</v>
      </c>
      <c r="F29" s="13"/>
      <c r="G29" s="14"/>
    </row>
    <row r="30" spans="1:8" ht="15.75" customHeight="1" x14ac:dyDescent="0.25"/>
    <row r="31" spans="1:8" ht="15.75" customHeight="1" x14ac:dyDescent="0.25">
      <c r="A31" s="26" t="s">
        <v>51</v>
      </c>
      <c r="B31" s="13"/>
      <c r="C31" s="13"/>
      <c r="D31" s="13"/>
      <c r="E31" s="13"/>
      <c r="F31" s="14"/>
      <c r="G31" s="9">
        <f>E26*1+G26*1</f>
        <v>28.885990000000003</v>
      </c>
    </row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</sheetData>
  <mergeCells count="13">
    <mergeCell ref="A31:F31"/>
    <mergeCell ref="A1:G1"/>
    <mergeCell ref="A2:C3"/>
    <mergeCell ref="D2:G2"/>
    <mergeCell ref="D3:E3"/>
    <mergeCell ref="F3:G3"/>
    <mergeCell ref="A25:D25"/>
    <mergeCell ref="A26:D26"/>
    <mergeCell ref="A27:D28"/>
    <mergeCell ref="E27:G27"/>
    <mergeCell ref="E28:G28"/>
    <mergeCell ref="A29:D29"/>
    <mergeCell ref="E29:G29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H1000"/>
  <sheetViews>
    <sheetView workbookViewId="0"/>
  </sheetViews>
  <sheetFormatPr defaultColWidth="14.42578125" defaultRowHeight="15" customHeight="1" x14ac:dyDescent="0.25"/>
  <cols>
    <col min="1" max="1" width="4.140625" customWidth="1"/>
    <col min="2" max="2" width="18.140625" customWidth="1"/>
    <col min="3" max="3" width="7.5703125" customWidth="1"/>
    <col min="4" max="4" width="29.7109375" customWidth="1"/>
    <col min="5" max="5" width="27.42578125" customWidth="1"/>
    <col min="6" max="8" width="14.5703125" customWidth="1"/>
    <col min="9" max="26" width="12.5703125" customWidth="1"/>
  </cols>
  <sheetData>
    <row r="1" spans="1:7" ht="15.75" customHeight="1" x14ac:dyDescent="0.25">
      <c r="A1" s="23" t="s">
        <v>42</v>
      </c>
      <c r="B1" s="24"/>
      <c r="C1" s="24"/>
      <c r="D1" s="24"/>
      <c r="E1" s="24"/>
      <c r="F1" s="24"/>
      <c r="G1" s="25"/>
    </row>
    <row r="2" spans="1:7" ht="15.75" customHeight="1" x14ac:dyDescent="0.25">
      <c r="A2" s="27" t="s">
        <v>0</v>
      </c>
      <c r="B2" s="18"/>
      <c r="C2" s="19"/>
      <c r="D2" s="28" t="s">
        <v>1</v>
      </c>
      <c r="E2" s="13"/>
      <c r="F2" s="13"/>
      <c r="G2" s="14"/>
    </row>
    <row r="3" spans="1:7" ht="15.75" customHeight="1" x14ac:dyDescent="0.25">
      <c r="A3" s="20"/>
      <c r="B3" s="21"/>
      <c r="C3" s="22"/>
      <c r="D3" s="28" t="s">
        <v>2</v>
      </c>
      <c r="E3" s="14"/>
      <c r="F3" s="28" t="s">
        <v>3</v>
      </c>
      <c r="G3" s="14"/>
    </row>
    <row r="4" spans="1:7" ht="15.75" customHeight="1" x14ac:dyDescent="0.25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</row>
    <row r="5" spans="1:7" ht="15.75" customHeight="1" x14ac:dyDescent="0.25">
      <c r="A5" s="6">
        <v>1</v>
      </c>
      <c r="B5" s="6" t="s">
        <v>30</v>
      </c>
      <c r="C5" s="6">
        <v>1</v>
      </c>
      <c r="D5" s="11">
        <v>45.5</v>
      </c>
      <c r="E5" s="6">
        <f t="shared" ref="E5:E20" si="0">C5*D5</f>
        <v>45.5</v>
      </c>
      <c r="F5" s="11">
        <v>47.8</v>
      </c>
      <c r="G5" s="6">
        <f t="shared" ref="G5:G20" si="1">C5*F5</f>
        <v>47.8</v>
      </c>
    </row>
    <row r="6" spans="1:7" ht="15.75" customHeight="1" x14ac:dyDescent="0.25">
      <c r="A6" s="6">
        <v>2</v>
      </c>
      <c r="B6" s="6" t="s">
        <v>31</v>
      </c>
      <c r="C6" s="6">
        <v>6</v>
      </c>
      <c r="D6" s="11">
        <v>30.8</v>
      </c>
      <c r="E6" s="6">
        <f t="shared" si="0"/>
        <v>184.8</v>
      </c>
      <c r="F6" s="11">
        <v>32.4</v>
      </c>
      <c r="G6" s="6">
        <f t="shared" si="1"/>
        <v>194.39999999999998</v>
      </c>
    </row>
    <row r="7" spans="1:7" ht="15.75" customHeight="1" x14ac:dyDescent="0.25">
      <c r="A7" s="6">
        <v>3</v>
      </c>
      <c r="B7" s="6" t="s">
        <v>13</v>
      </c>
      <c r="C7" s="6">
        <v>84</v>
      </c>
      <c r="D7" s="11">
        <v>220</v>
      </c>
      <c r="E7" s="6">
        <f t="shared" si="0"/>
        <v>18480</v>
      </c>
      <c r="F7" s="11">
        <v>320</v>
      </c>
      <c r="G7" s="6">
        <f t="shared" si="1"/>
        <v>26880</v>
      </c>
    </row>
    <row r="8" spans="1:7" ht="15.75" customHeight="1" x14ac:dyDescent="0.25">
      <c r="A8" s="6">
        <v>4</v>
      </c>
      <c r="B8" s="6" t="s">
        <v>52</v>
      </c>
      <c r="C8" s="6"/>
      <c r="D8" s="11">
        <v>0.14199999999999999</v>
      </c>
      <c r="E8" s="6">
        <f t="shared" si="0"/>
        <v>0</v>
      </c>
      <c r="F8" s="11">
        <v>0.152</v>
      </c>
      <c r="G8" s="6">
        <f t="shared" si="1"/>
        <v>0</v>
      </c>
    </row>
    <row r="9" spans="1:7" ht="15.75" customHeight="1" x14ac:dyDescent="0.25">
      <c r="A9" s="6">
        <v>5</v>
      </c>
      <c r="B9" s="6" t="s">
        <v>43</v>
      </c>
      <c r="C9" s="6">
        <v>0</v>
      </c>
      <c r="D9" s="11">
        <v>0.15</v>
      </c>
      <c r="E9" s="6">
        <f t="shared" si="0"/>
        <v>0</v>
      </c>
      <c r="F9" s="11">
        <v>0.16</v>
      </c>
      <c r="G9" s="6">
        <f t="shared" si="1"/>
        <v>0</v>
      </c>
    </row>
    <row r="10" spans="1:7" ht="15.75" customHeight="1" x14ac:dyDescent="0.25">
      <c r="A10" s="6">
        <v>6</v>
      </c>
      <c r="B10" s="6" t="s">
        <v>53</v>
      </c>
      <c r="C10" s="6"/>
      <c r="D10" s="11">
        <v>0.14199999999999999</v>
      </c>
      <c r="E10" s="6">
        <f t="shared" si="0"/>
        <v>0</v>
      </c>
      <c r="F10" s="11">
        <v>0.18</v>
      </c>
      <c r="G10" s="6">
        <f t="shared" si="1"/>
        <v>0</v>
      </c>
    </row>
    <row r="11" spans="1:7" ht="15.75" customHeight="1" x14ac:dyDescent="0.25">
      <c r="A11" s="6">
        <v>7</v>
      </c>
      <c r="B11" s="6" t="s">
        <v>54</v>
      </c>
      <c r="C11" s="6"/>
      <c r="D11" s="11">
        <v>0.14199999999999999</v>
      </c>
      <c r="E11" s="6">
        <f t="shared" si="0"/>
        <v>0</v>
      </c>
      <c r="F11" s="11">
        <v>0.18</v>
      </c>
      <c r="G11" s="6">
        <f t="shared" si="1"/>
        <v>0</v>
      </c>
    </row>
    <row r="12" spans="1:7" ht="15.75" customHeight="1" x14ac:dyDescent="0.25">
      <c r="A12" s="6">
        <v>8</v>
      </c>
      <c r="B12" s="6" t="s">
        <v>55</v>
      </c>
      <c r="C12" s="6"/>
      <c r="D12" s="11">
        <v>0.14199999999999999</v>
      </c>
      <c r="E12" s="6">
        <f t="shared" si="0"/>
        <v>0</v>
      </c>
      <c r="F12" s="11">
        <v>0.18</v>
      </c>
      <c r="G12" s="6">
        <f t="shared" si="1"/>
        <v>0</v>
      </c>
    </row>
    <row r="13" spans="1:7" ht="15.75" customHeight="1" x14ac:dyDescent="0.25">
      <c r="A13" s="6">
        <v>9</v>
      </c>
      <c r="B13" s="6" t="s">
        <v>21</v>
      </c>
      <c r="C13" s="6">
        <v>2</v>
      </c>
      <c r="D13" s="11">
        <v>0.17199999999999999</v>
      </c>
      <c r="E13" s="6">
        <f t="shared" si="0"/>
        <v>0.34399999999999997</v>
      </c>
      <c r="F13" s="11">
        <v>0.188</v>
      </c>
      <c r="G13" s="6">
        <f t="shared" si="1"/>
        <v>0.376</v>
      </c>
    </row>
    <row r="14" spans="1:7" ht="15.75" customHeight="1" x14ac:dyDescent="0.25">
      <c r="A14" s="6">
        <v>10</v>
      </c>
      <c r="B14" s="6" t="s">
        <v>20</v>
      </c>
      <c r="C14" s="6">
        <v>41</v>
      </c>
      <c r="D14" s="11">
        <v>55</v>
      </c>
      <c r="E14" s="6">
        <f t="shared" si="0"/>
        <v>2255</v>
      </c>
      <c r="F14" s="11">
        <v>63</v>
      </c>
      <c r="G14" s="6">
        <f t="shared" si="1"/>
        <v>2583</v>
      </c>
    </row>
    <row r="15" spans="1:7" ht="15.75" customHeight="1" x14ac:dyDescent="0.25">
      <c r="A15" s="6">
        <v>11</v>
      </c>
      <c r="B15" s="6" t="s">
        <v>19</v>
      </c>
      <c r="C15" s="6"/>
      <c r="D15" s="11">
        <v>0.4</v>
      </c>
      <c r="E15" s="6">
        <f t="shared" si="0"/>
        <v>0</v>
      </c>
      <c r="F15" s="11">
        <v>0.4</v>
      </c>
      <c r="G15" s="6">
        <f t="shared" si="1"/>
        <v>0</v>
      </c>
    </row>
    <row r="16" spans="1:7" ht="15.75" customHeight="1" x14ac:dyDescent="0.25">
      <c r="A16" s="6">
        <v>12</v>
      </c>
      <c r="B16" s="6" t="s">
        <v>18</v>
      </c>
      <c r="C16" s="6">
        <v>82</v>
      </c>
      <c r="D16" s="11">
        <v>14</v>
      </c>
      <c r="E16" s="6">
        <f t="shared" si="0"/>
        <v>1148</v>
      </c>
      <c r="F16" s="11">
        <v>14</v>
      </c>
      <c r="G16" s="6">
        <f t="shared" si="1"/>
        <v>1148</v>
      </c>
    </row>
    <row r="17" spans="1:8" ht="15.75" customHeight="1" x14ac:dyDescent="0.25">
      <c r="A17" s="6">
        <v>13</v>
      </c>
      <c r="B17" s="6" t="s">
        <v>29</v>
      </c>
      <c r="C17" s="6">
        <v>116</v>
      </c>
      <c r="D17" s="6">
        <v>26</v>
      </c>
      <c r="E17" s="6">
        <f t="shared" si="0"/>
        <v>3016</v>
      </c>
      <c r="F17" s="6">
        <v>26</v>
      </c>
      <c r="G17" s="6">
        <f t="shared" si="1"/>
        <v>3016</v>
      </c>
    </row>
    <row r="18" spans="1:8" ht="15.75" customHeight="1" x14ac:dyDescent="0.25">
      <c r="A18" s="6">
        <v>14</v>
      </c>
      <c r="B18" s="6" t="s">
        <v>45</v>
      </c>
      <c r="C18" s="6">
        <v>0</v>
      </c>
      <c r="D18" s="6">
        <v>26</v>
      </c>
      <c r="E18" s="6">
        <f t="shared" si="0"/>
        <v>0</v>
      </c>
      <c r="F18" s="6">
        <v>26</v>
      </c>
      <c r="G18" s="6">
        <f t="shared" si="1"/>
        <v>0</v>
      </c>
    </row>
    <row r="19" spans="1:8" ht="15.75" customHeight="1" x14ac:dyDescent="0.25">
      <c r="A19" s="6">
        <v>15</v>
      </c>
      <c r="B19" s="6" t="s">
        <v>27</v>
      </c>
      <c r="C19" s="6"/>
      <c r="D19" s="6">
        <v>0</v>
      </c>
      <c r="E19" s="6">
        <f t="shared" si="0"/>
        <v>0</v>
      </c>
      <c r="F19" s="6">
        <v>75</v>
      </c>
      <c r="G19" s="6">
        <f t="shared" si="1"/>
        <v>0</v>
      </c>
    </row>
    <row r="20" spans="1:8" ht="15.75" customHeight="1" x14ac:dyDescent="0.25">
      <c r="A20" s="6">
        <v>16</v>
      </c>
      <c r="B20" s="6" t="s">
        <v>26</v>
      </c>
      <c r="C20" s="6"/>
      <c r="D20" s="6">
        <v>0</v>
      </c>
      <c r="E20" s="6">
        <f t="shared" si="0"/>
        <v>0</v>
      </c>
      <c r="F20" s="6">
        <v>25</v>
      </c>
      <c r="G20" s="6">
        <f t="shared" si="1"/>
        <v>0</v>
      </c>
    </row>
    <row r="21" spans="1:8" ht="15.75" customHeight="1" x14ac:dyDescent="0.25">
      <c r="A21" s="28" t="s">
        <v>56</v>
      </c>
      <c r="B21" s="13"/>
      <c r="C21" s="13"/>
      <c r="D21" s="14"/>
      <c r="E21" s="6">
        <f>SUM(E5:E20)</f>
        <v>25129.644</v>
      </c>
      <c r="F21" s="6"/>
      <c r="G21" s="6">
        <f>SUM(G5:G20)</f>
        <v>33869.576000000001</v>
      </c>
    </row>
    <row r="22" spans="1:8" ht="15.75" customHeight="1" x14ac:dyDescent="0.25">
      <c r="A22" s="28" t="s">
        <v>57</v>
      </c>
      <c r="B22" s="13"/>
      <c r="C22" s="13"/>
      <c r="D22" s="14"/>
      <c r="E22" s="9">
        <f>E21/1000</f>
        <v>25.129643999999999</v>
      </c>
      <c r="F22" s="6"/>
      <c r="G22" s="9">
        <f>G21/1000</f>
        <v>33.869576000000002</v>
      </c>
      <c r="H22" s="10">
        <f>G22/4.5</f>
        <v>7.5265724444444446</v>
      </c>
    </row>
    <row r="23" spans="1:8" ht="15.75" customHeight="1" x14ac:dyDescent="0.25">
      <c r="A23" s="27" t="s">
        <v>35</v>
      </c>
      <c r="B23" s="18"/>
      <c r="C23" s="18"/>
      <c r="D23" s="19"/>
      <c r="E23" s="29" t="s">
        <v>36</v>
      </c>
      <c r="F23" s="13"/>
      <c r="G23" s="14"/>
    </row>
    <row r="24" spans="1:8" ht="15.75" customHeight="1" x14ac:dyDescent="0.25">
      <c r="A24" s="20"/>
      <c r="B24" s="21"/>
      <c r="C24" s="21"/>
      <c r="D24" s="22"/>
      <c r="E24" s="29" t="s">
        <v>37</v>
      </c>
      <c r="F24" s="13"/>
      <c r="G24" s="14"/>
    </row>
    <row r="25" spans="1:8" ht="15.75" customHeight="1" x14ac:dyDescent="0.25">
      <c r="A25" s="16" t="s">
        <v>58</v>
      </c>
      <c r="B25" s="13"/>
      <c r="C25" s="13"/>
      <c r="D25" s="14"/>
      <c r="E25" s="15" t="s">
        <v>39</v>
      </c>
      <c r="F25" s="13"/>
      <c r="G25" s="14"/>
    </row>
    <row r="26" spans="1:8" ht="15.75" customHeight="1" x14ac:dyDescent="0.25"/>
    <row r="27" spans="1:8" ht="15.75" customHeight="1" x14ac:dyDescent="0.25">
      <c r="A27" s="26" t="s">
        <v>51</v>
      </c>
      <c r="B27" s="13"/>
      <c r="C27" s="13"/>
      <c r="D27" s="13"/>
      <c r="E27" s="13"/>
      <c r="F27" s="14"/>
      <c r="G27" s="9">
        <f>E22*1+G22*1</f>
        <v>58.999220000000001</v>
      </c>
    </row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A27:F27"/>
    <mergeCell ref="A1:G1"/>
    <mergeCell ref="A2:C3"/>
    <mergeCell ref="D2:G2"/>
    <mergeCell ref="D3:E3"/>
    <mergeCell ref="F3:G3"/>
    <mergeCell ref="A21:D21"/>
    <mergeCell ref="A22:D22"/>
    <mergeCell ref="A23:D24"/>
    <mergeCell ref="E23:G23"/>
    <mergeCell ref="E24:G24"/>
    <mergeCell ref="A25:D25"/>
    <mergeCell ref="E25:G25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H1000"/>
  <sheetViews>
    <sheetView tabSelected="1" topLeftCell="A16" workbookViewId="0">
      <selection activeCell="C40" sqref="C40"/>
    </sheetView>
  </sheetViews>
  <sheetFormatPr defaultColWidth="14.42578125" defaultRowHeight="15" customHeight="1" x14ac:dyDescent="0.25"/>
  <cols>
    <col min="1" max="1" width="4.140625" customWidth="1"/>
    <col min="2" max="2" width="18.140625" customWidth="1"/>
    <col min="3" max="3" width="7.5703125" customWidth="1"/>
    <col min="4" max="4" width="29.7109375" customWidth="1"/>
    <col min="5" max="5" width="27.42578125" customWidth="1"/>
    <col min="6" max="8" width="14.5703125" customWidth="1"/>
    <col min="9" max="26" width="12.5703125" customWidth="1"/>
  </cols>
  <sheetData>
    <row r="1" spans="1:7" ht="15.75" customHeight="1" x14ac:dyDescent="0.25">
      <c r="A1" s="23" t="s">
        <v>42</v>
      </c>
      <c r="B1" s="24"/>
      <c r="C1" s="24"/>
      <c r="D1" s="24"/>
      <c r="E1" s="24"/>
      <c r="F1" s="24"/>
      <c r="G1" s="25"/>
    </row>
    <row r="2" spans="1:7" ht="15.75" customHeight="1" x14ac:dyDescent="0.25">
      <c r="A2" s="27" t="s">
        <v>0</v>
      </c>
      <c r="B2" s="18"/>
      <c r="C2" s="19"/>
      <c r="D2" s="28" t="s">
        <v>1</v>
      </c>
      <c r="E2" s="13"/>
      <c r="F2" s="13"/>
      <c r="G2" s="14"/>
    </row>
    <row r="3" spans="1:7" ht="15.75" customHeight="1" x14ac:dyDescent="0.25">
      <c r="A3" s="20"/>
      <c r="B3" s="21"/>
      <c r="C3" s="22"/>
      <c r="D3" s="28" t="s">
        <v>2</v>
      </c>
      <c r="E3" s="14"/>
      <c r="F3" s="28" t="s">
        <v>3</v>
      </c>
      <c r="G3" s="14"/>
    </row>
    <row r="4" spans="1:7" ht="15.75" customHeight="1" x14ac:dyDescent="0.25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</row>
    <row r="5" spans="1:7" ht="15.75" customHeight="1" x14ac:dyDescent="0.25">
      <c r="A5" s="6">
        <v>1</v>
      </c>
      <c r="B5" s="6" t="s">
        <v>11</v>
      </c>
      <c r="C5" s="6">
        <v>1</v>
      </c>
      <c r="D5" s="6">
        <v>45.5</v>
      </c>
      <c r="E5" s="6">
        <f t="shared" ref="E5:E24" si="0">C5*D5</f>
        <v>45.5</v>
      </c>
      <c r="F5" s="6">
        <v>47.8</v>
      </c>
      <c r="G5" s="6">
        <f t="shared" ref="G5:G24" si="1">C5*F5</f>
        <v>47.8</v>
      </c>
    </row>
    <row r="6" spans="1:7" ht="15.75" customHeight="1" x14ac:dyDescent="0.25">
      <c r="A6" s="6">
        <v>2</v>
      </c>
      <c r="B6" s="6" t="s">
        <v>31</v>
      </c>
      <c r="C6" s="6"/>
      <c r="D6" s="7">
        <v>47</v>
      </c>
      <c r="E6" s="6">
        <f t="shared" si="0"/>
        <v>0</v>
      </c>
      <c r="F6" s="7">
        <v>47</v>
      </c>
      <c r="G6" s="6">
        <f t="shared" si="1"/>
        <v>0</v>
      </c>
    </row>
    <row r="7" spans="1:7" ht="15.75" customHeight="1" x14ac:dyDescent="0.25">
      <c r="A7" s="6">
        <v>3</v>
      </c>
      <c r="B7" s="6" t="s">
        <v>13</v>
      </c>
      <c r="C7" s="6">
        <v>3</v>
      </c>
      <c r="D7" s="6">
        <v>220</v>
      </c>
      <c r="E7" s="6">
        <f t="shared" si="0"/>
        <v>660</v>
      </c>
      <c r="F7" s="6">
        <v>320</v>
      </c>
      <c r="G7" s="6">
        <f t="shared" si="1"/>
        <v>960</v>
      </c>
    </row>
    <row r="8" spans="1:7" ht="15.75" customHeight="1" x14ac:dyDescent="0.25">
      <c r="A8" s="6">
        <v>4</v>
      </c>
      <c r="B8" s="6" t="s">
        <v>12</v>
      </c>
      <c r="C8" s="6">
        <v>12</v>
      </c>
      <c r="D8" s="6">
        <v>150</v>
      </c>
      <c r="E8" s="6">
        <f t="shared" si="0"/>
        <v>1800</v>
      </c>
      <c r="F8" s="6">
        <v>150</v>
      </c>
      <c r="G8" s="6">
        <f t="shared" si="1"/>
        <v>1800</v>
      </c>
    </row>
    <row r="9" spans="1:7" ht="15.75" customHeight="1" x14ac:dyDescent="0.25">
      <c r="A9" s="6">
        <v>5</v>
      </c>
      <c r="B9" s="6" t="s">
        <v>14</v>
      </c>
      <c r="C9" s="6"/>
      <c r="D9" s="7">
        <v>0.17</v>
      </c>
      <c r="E9" s="6">
        <f t="shared" si="0"/>
        <v>0</v>
      </c>
      <c r="F9" s="7">
        <v>0.18</v>
      </c>
      <c r="G9" s="6">
        <f t="shared" si="1"/>
        <v>0</v>
      </c>
    </row>
    <row r="10" spans="1:7" ht="15.75" customHeight="1" x14ac:dyDescent="0.25">
      <c r="A10" s="6">
        <v>6</v>
      </c>
      <c r="B10" s="6" t="s">
        <v>43</v>
      </c>
      <c r="C10" s="6"/>
      <c r="D10" s="6">
        <v>0.15</v>
      </c>
      <c r="E10" s="6">
        <f t="shared" si="0"/>
        <v>0</v>
      </c>
      <c r="F10" s="6">
        <v>0.16</v>
      </c>
      <c r="G10" s="6">
        <f t="shared" si="1"/>
        <v>0</v>
      </c>
    </row>
    <row r="11" spans="1:7" ht="15.75" customHeight="1" x14ac:dyDescent="0.25">
      <c r="A11" s="6">
        <v>7</v>
      </c>
      <c r="B11" s="6" t="s">
        <v>15</v>
      </c>
      <c r="C11" s="6"/>
      <c r="D11" s="7">
        <v>0.16</v>
      </c>
      <c r="E11" s="6">
        <f t="shared" si="0"/>
        <v>0</v>
      </c>
      <c r="F11" s="7">
        <v>0.2</v>
      </c>
      <c r="G11" s="6">
        <f t="shared" si="1"/>
        <v>0</v>
      </c>
    </row>
    <row r="12" spans="1:7" ht="15.75" customHeight="1" x14ac:dyDescent="0.25">
      <c r="A12" s="6">
        <v>8</v>
      </c>
      <c r="B12" s="6" t="s">
        <v>16</v>
      </c>
      <c r="C12" s="6"/>
      <c r="D12" s="7">
        <v>0.16</v>
      </c>
      <c r="E12" s="6">
        <f t="shared" si="0"/>
        <v>0</v>
      </c>
      <c r="F12" s="7">
        <v>0.2</v>
      </c>
      <c r="G12" s="6">
        <f t="shared" si="1"/>
        <v>0</v>
      </c>
    </row>
    <row r="13" spans="1:7" ht="15.75" customHeight="1" x14ac:dyDescent="0.25">
      <c r="A13" s="6">
        <v>9</v>
      </c>
      <c r="B13" s="6" t="s">
        <v>17</v>
      </c>
      <c r="C13" s="6"/>
      <c r="D13" s="7">
        <v>0.16</v>
      </c>
      <c r="E13" s="6">
        <f t="shared" si="0"/>
        <v>0</v>
      </c>
      <c r="F13" s="7">
        <v>0.2</v>
      </c>
      <c r="G13" s="6">
        <f t="shared" si="1"/>
        <v>0</v>
      </c>
    </row>
    <row r="14" spans="1:7" ht="15.75" customHeight="1" x14ac:dyDescent="0.25">
      <c r="A14" s="6">
        <v>10</v>
      </c>
      <c r="B14" s="6" t="s">
        <v>21</v>
      </c>
      <c r="C14" s="6">
        <v>11</v>
      </c>
      <c r="D14" s="7">
        <v>0.17</v>
      </c>
      <c r="E14" s="6">
        <f t="shared" si="0"/>
        <v>1.87</v>
      </c>
      <c r="F14" s="7">
        <v>0.18</v>
      </c>
      <c r="G14" s="6">
        <f t="shared" si="1"/>
        <v>1.98</v>
      </c>
    </row>
    <row r="15" spans="1:7" ht="15.75" customHeight="1" x14ac:dyDescent="0.25">
      <c r="A15" s="6">
        <v>11</v>
      </c>
      <c r="B15" s="6" t="s">
        <v>20</v>
      </c>
      <c r="C15" s="6">
        <v>2</v>
      </c>
      <c r="D15" s="7">
        <v>50</v>
      </c>
      <c r="E15" s="6">
        <f t="shared" si="0"/>
        <v>100</v>
      </c>
      <c r="F15" s="7">
        <v>50</v>
      </c>
      <c r="G15" s="6">
        <f t="shared" si="1"/>
        <v>100</v>
      </c>
    </row>
    <row r="16" spans="1:7" ht="15.75" customHeight="1" x14ac:dyDescent="0.25">
      <c r="A16" s="6">
        <v>12</v>
      </c>
      <c r="B16" s="6" t="s">
        <v>19</v>
      </c>
      <c r="C16" s="6"/>
      <c r="D16" s="7">
        <v>0.4</v>
      </c>
      <c r="E16" s="6">
        <f t="shared" si="0"/>
        <v>0</v>
      </c>
      <c r="F16" s="7">
        <v>0.4</v>
      </c>
      <c r="G16" s="6">
        <f t="shared" si="1"/>
        <v>0</v>
      </c>
    </row>
    <row r="17" spans="1:8" ht="15.75" customHeight="1" x14ac:dyDescent="0.25">
      <c r="A17" s="6">
        <v>13</v>
      </c>
      <c r="B17" s="8" t="s">
        <v>22</v>
      </c>
      <c r="C17" s="6">
        <v>14</v>
      </c>
      <c r="D17" s="8">
        <v>0.18</v>
      </c>
      <c r="E17" s="6">
        <f t="shared" si="0"/>
        <v>2.52</v>
      </c>
      <c r="F17" s="8">
        <v>0.18</v>
      </c>
      <c r="G17" s="6">
        <f t="shared" si="1"/>
        <v>2.52</v>
      </c>
    </row>
    <row r="18" spans="1:8" ht="15.75" customHeight="1" x14ac:dyDescent="0.25">
      <c r="A18" s="6">
        <v>14</v>
      </c>
      <c r="B18" s="8" t="s">
        <v>23</v>
      </c>
      <c r="C18" s="6">
        <v>1</v>
      </c>
      <c r="D18" s="8">
        <v>0.38</v>
      </c>
      <c r="E18" s="6">
        <f t="shared" si="0"/>
        <v>0.38</v>
      </c>
      <c r="F18" s="8">
        <v>0.38</v>
      </c>
      <c r="G18" s="6">
        <f t="shared" si="1"/>
        <v>0.38</v>
      </c>
    </row>
    <row r="19" spans="1:8" ht="15.75" customHeight="1" x14ac:dyDescent="0.25">
      <c r="A19" s="6">
        <v>15</v>
      </c>
      <c r="B19" s="6" t="s">
        <v>18</v>
      </c>
      <c r="C19" s="6">
        <v>49</v>
      </c>
      <c r="D19" s="6">
        <v>14</v>
      </c>
      <c r="E19" s="6">
        <f t="shared" si="0"/>
        <v>686</v>
      </c>
      <c r="F19" s="6">
        <v>14</v>
      </c>
      <c r="G19" s="6">
        <f t="shared" si="1"/>
        <v>686</v>
      </c>
    </row>
    <row r="20" spans="1:8" ht="15.75" customHeight="1" x14ac:dyDescent="0.25">
      <c r="A20" s="6">
        <v>16</v>
      </c>
      <c r="B20" s="6" t="s">
        <v>44</v>
      </c>
      <c r="C20" s="6">
        <v>77</v>
      </c>
      <c r="D20" s="6">
        <v>10</v>
      </c>
      <c r="E20" s="6">
        <f t="shared" si="0"/>
        <v>770</v>
      </c>
      <c r="F20" s="6">
        <v>10</v>
      </c>
      <c r="G20" s="6">
        <f t="shared" si="1"/>
        <v>770</v>
      </c>
    </row>
    <row r="21" spans="1:8" ht="15.75" customHeight="1" x14ac:dyDescent="0.25">
      <c r="A21" s="6">
        <v>17</v>
      </c>
      <c r="B21" s="6" t="s">
        <v>29</v>
      </c>
      <c r="C21" s="6">
        <v>42</v>
      </c>
      <c r="D21" s="6">
        <v>26</v>
      </c>
      <c r="E21" s="6">
        <f t="shared" si="0"/>
        <v>1092</v>
      </c>
      <c r="F21" s="6">
        <v>26</v>
      </c>
      <c r="G21" s="6">
        <f t="shared" si="1"/>
        <v>1092</v>
      </c>
    </row>
    <row r="22" spans="1:8" ht="15.75" customHeight="1" x14ac:dyDescent="0.25">
      <c r="A22" s="6">
        <v>18</v>
      </c>
      <c r="B22" s="6" t="s">
        <v>45</v>
      </c>
      <c r="C22" s="6"/>
      <c r="D22" s="6">
        <v>26</v>
      </c>
      <c r="E22" s="6">
        <f t="shared" si="0"/>
        <v>0</v>
      </c>
      <c r="F22" s="6">
        <v>26</v>
      </c>
      <c r="G22" s="6">
        <f t="shared" si="1"/>
        <v>0</v>
      </c>
    </row>
    <row r="23" spans="1:8" ht="15.75" customHeight="1" x14ac:dyDescent="0.25">
      <c r="A23" s="6">
        <v>19</v>
      </c>
      <c r="B23" s="6" t="s">
        <v>27</v>
      </c>
      <c r="C23" s="6"/>
      <c r="D23" s="6">
        <v>0</v>
      </c>
      <c r="E23" s="6">
        <f t="shared" si="0"/>
        <v>0</v>
      </c>
      <c r="F23" s="6">
        <v>75</v>
      </c>
      <c r="G23" s="6">
        <f t="shared" si="1"/>
        <v>0</v>
      </c>
    </row>
    <row r="24" spans="1:8" ht="15.75" customHeight="1" x14ac:dyDescent="0.25">
      <c r="A24" s="6">
        <v>20</v>
      </c>
      <c r="B24" s="6" t="s">
        <v>26</v>
      </c>
      <c r="C24" s="6">
        <v>8</v>
      </c>
      <c r="D24" s="6">
        <v>0</v>
      </c>
      <c r="E24" s="6">
        <f t="shared" si="0"/>
        <v>0</v>
      </c>
      <c r="F24" s="6">
        <v>25</v>
      </c>
      <c r="G24" s="6">
        <f t="shared" si="1"/>
        <v>200</v>
      </c>
    </row>
    <row r="25" spans="1:8" ht="15.75" customHeight="1" x14ac:dyDescent="0.25">
      <c r="A25" s="28" t="s">
        <v>59</v>
      </c>
      <c r="B25" s="13"/>
      <c r="C25" s="13"/>
      <c r="D25" s="14"/>
      <c r="E25" s="6">
        <f>SUM(E5:E24)</f>
        <v>5158.2700000000004</v>
      </c>
      <c r="F25" s="6"/>
      <c r="G25" s="6">
        <f>SUM(G5:G24)</f>
        <v>5660.68</v>
      </c>
    </row>
    <row r="26" spans="1:8" ht="15.75" customHeight="1" x14ac:dyDescent="0.25">
      <c r="A26" s="28" t="s">
        <v>60</v>
      </c>
      <c r="B26" s="13"/>
      <c r="C26" s="13"/>
      <c r="D26" s="14"/>
      <c r="E26" s="9">
        <f>E25/1000</f>
        <v>5.1582700000000008</v>
      </c>
      <c r="F26" s="6"/>
      <c r="G26" s="9">
        <f>G25/1000</f>
        <v>5.6606800000000002</v>
      </c>
      <c r="H26" s="10">
        <f>G26/4.5</f>
        <v>1.2579288888888889</v>
      </c>
    </row>
    <row r="27" spans="1:8" ht="15.75" customHeight="1" x14ac:dyDescent="0.25">
      <c r="A27" s="27" t="s">
        <v>35</v>
      </c>
      <c r="B27" s="18"/>
      <c r="C27" s="18"/>
      <c r="D27" s="19"/>
      <c r="E27" s="29" t="s">
        <v>36</v>
      </c>
      <c r="F27" s="13"/>
      <c r="G27" s="14"/>
    </row>
    <row r="28" spans="1:8" ht="15.75" customHeight="1" x14ac:dyDescent="0.25">
      <c r="A28" s="20"/>
      <c r="B28" s="21"/>
      <c r="C28" s="21"/>
      <c r="D28" s="22"/>
      <c r="E28" s="29" t="s">
        <v>48</v>
      </c>
      <c r="F28" s="13"/>
      <c r="G28" s="14"/>
    </row>
    <row r="29" spans="1:8" ht="15.75" customHeight="1" x14ac:dyDescent="0.25">
      <c r="A29" s="16" t="s">
        <v>61</v>
      </c>
      <c r="B29" s="13"/>
      <c r="C29" s="13"/>
      <c r="D29" s="14"/>
      <c r="E29" s="15" t="s">
        <v>50</v>
      </c>
      <c r="F29" s="13"/>
      <c r="G29" s="14"/>
    </row>
    <row r="30" spans="1:8" ht="15.75" customHeight="1" x14ac:dyDescent="0.25"/>
    <row r="31" spans="1:8" ht="15.75" customHeight="1" x14ac:dyDescent="0.25">
      <c r="A31" s="26" t="s">
        <v>51</v>
      </c>
      <c r="B31" s="13"/>
      <c r="C31" s="13"/>
      <c r="D31" s="13"/>
      <c r="E31" s="13"/>
      <c r="F31" s="14"/>
      <c r="G31" s="9">
        <f>E26*1+G26*1</f>
        <v>10.818950000000001</v>
      </c>
    </row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A31:F31"/>
    <mergeCell ref="A1:G1"/>
    <mergeCell ref="A2:C3"/>
    <mergeCell ref="D2:G2"/>
    <mergeCell ref="D3:E3"/>
    <mergeCell ref="F3:G3"/>
    <mergeCell ref="A25:D25"/>
    <mergeCell ref="A26:D26"/>
    <mergeCell ref="A27:D28"/>
    <mergeCell ref="E27:G27"/>
    <mergeCell ref="E28:G28"/>
    <mergeCell ref="A29:D29"/>
    <mergeCell ref="E29:G29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H1000"/>
  <sheetViews>
    <sheetView workbookViewId="0">
      <selection sqref="A1:G1"/>
    </sheetView>
  </sheetViews>
  <sheetFormatPr defaultColWidth="14.42578125" defaultRowHeight="15" customHeight="1" x14ac:dyDescent="0.25"/>
  <cols>
    <col min="1" max="1" width="4.140625" customWidth="1"/>
    <col min="2" max="2" width="18.140625" customWidth="1"/>
    <col min="3" max="3" width="7.5703125" customWidth="1"/>
    <col min="4" max="4" width="29.7109375" customWidth="1"/>
    <col min="5" max="5" width="27.42578125" customWidth="1"/>
    <col min="6" max="8" width="14.5703125" customWidth="1"/>
    <col min="9" max="26" width="12.5703125" customWidth="1"/>
  </cols>
  <sheetData>
    <row r="1" spans="1:7" ht="15.75" customHeight="1" x14ac:dyDescent="0.25">
      <c r="A1" s="23" t="s">
        <v>42</v>
      </c>
      <c r="B1" s="24"/>
      <c r="C1" s="24"/>
      <c r="D1" s="24"/>
      <c r="E1" s="24"/>
      <c r="F1" s="24"/>
      <c r="G1" s="25"/>
    </row>
    <row r="2" spans="1:7" ht="15.75" customHeight="1" x14ac:dyDescent="0.25">
      <c r="A2" s="27" t="s">
        <v>0</v>
      </c>
      <c r="B2" s="18"/>
      <c r="C2" s="19"/>
      <c r="D2" s="28" t="s">
        <v>1</v>
      </c>
      <c r="E2" s="13"/>
      <c r="F2" s="13"/>
      <c r="G2" s="14"/>
    </row>
    <row r="3" spans="1:7" ht="15.75" customHeight="1" x14ac:dyDescent="0.25">
      <c r="A3" s="20"/>
      <c r="B3" s="21"/>
      <c r="C3" s="22"/>
      <c r="D3" s="28" t="s">
        <v>2</v>
      </c>
      <c r="E3" s="14"/>
      <c r="F3" s="28" t="s">
        <v>3</v>
      </c>
      <c r="G3" s="14"/>
    </row>
    <row r="4" spans="1:7" ht="15.75" customHeight="1" x14ac:dyDescent="0.25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</row>
    <row r="5" spans="1:7" ht="15.75" customHeight="1" x14ac:dyDescent="0.25">
      <c r="A5" s="6">
        <v>1</v>
      </c>
      <c r="B5" s="6" t="s">
        <v>30</v>
      </c>
      <c r="C5" s="6">
        <v>1</v>
      </c>
      <c r="D5" s="11">
        <v>45.5</v>
      </c>
      <c r="E5" s="6">
        <f t="shared" ref="E5:E20" si="0">C5*D5</f>
        <v>45.5</v>
      </c>
      <c r="F5" s="11">
        <v>47.8</v>
      </c>
      <c r="G5" s="6">
        <f t="shared" ref="G5:G20" si="1">C5*F5</f>
        <v>47.8</v>
      </c>
    </row>
    <row r="6" spans="1:7" ht="15.75" customHeight="1" x14ac:dyDescent="0.25">
      <c r="A6" s="6">
        <v>2</v>
      </c>
      <c r="B6" s="6" t="s">
        <v>31</v>
      </c>
      <c r="C6" s="6">
        <v>6</v>
      </c>
      <c r="D6" s="11">
        <v>30.8</v>
      </c>
      <c r="E6" s="6">
        <f t="shared" si="0"/>
        <v>184.8</v>
      </c>
      <c r="F6" s="11">
        <v>32.4</v>
      </c>
      <c r="G6" s="6">
        <f t="shared" si="1"/>
        <v>194.39999999999998</v>
      </c>
    </row>
    <row r="7" spans="1:7" ht="15.75" customHeight="1" x14ac:dyDescent="0.25">
      <c r="A7" s="6">
        <v>3</v>
      </c>
      <c r="B7" s="6" t="s">
        <v>13</v>
      </c>
      <c r="C7" s="6">
        <v>84</v>
      </c>
      <c r="D7" s="11">
        <v>220</v>
      </c>
      <c r="E7" s="6">
        <f t="shared" si="0"/>
        <v>18480</v>
      </c>
      <c r="F7" s="11">
        <v>320</v>
      </c>
      <c r="G7" s="6">
        <f t="shared" si="1"/>
        <v>26880</v>
      </c>
    </row>
    <row r="8" spans="1:7" ht="15.75" customHeight="1" x14ac:dyDescent="0.25">
      <c r="A8" s="6">
        <v>4</v>
      </c>
      <c r="B8" s="6" t="s">
        <v>52</v>
      </c>
      <c r="C8" s="6">
        <v>795</v>
      </c>
      <c r="D8" s="11">
        <v>0.14199999999999999</v>
      </c>
      <c r="E8" s="6">
        <f t="shared" si="0"/>
        <v>112.88999999999999</v>
      </c>
      <c r="F8" s="11">
        <v>0.152</v>
      </c>
      <c r="G8" s="6">
        <f t="shared" si="1"/>
        <v>120.84</v>
      </c>
    </row>
    <row r="9" spans="1:7" ht="15.75" customHeight="1" x14ac:dyDescent="0.25">
      <c r="A9" s="6">
        <v>5</v>
      </c>
      <c r="B9" s="6" t="s">
        <v>43</v>
      </c>
      <c r="C9" s="6">
        <v>0</v>
      </c>
      <c r="D9" s="11">
        <v>0.15</v>
      </c>
      <c r="E9" s="6">
        <f t="shared" si="0"/>
        <v>0</v>
      </c>
      <c r="F9" s="11">
        <v>0.16</v>
      </c>
      <c r="G9" s="6">
        <f t="shared" si="1"/>
        <v>0</v>
      </c>
    </row>
    <row r="10" spans="1:7" ht="15.75" customHeight="1" x14ac:dyDescent="0.25">
      <c r="A10" s="6">
        <v>6</v>
      </c>
      <c r="B10" s="6" t="s">
        <v>53</v>
      </c>
      <c r="C10" s="6">
        <v>90</v>
      </c>
      <c r="D10" s="11">
        <v>0.14199999999999999</v>
      </c>
      <c r="E10" s="6">
        <f t="shared" si="0"/>
        <v>12.78</v>
      </c>
      <c r="F10" s="11">
        <v>0.18</v>
      </c>
      <c r="G10" s="6">
        <f t="shared" si="1"/>
        <v>16.2</v>
      </c>
    </row>
    <row r="11" spans="1:7" ht="15.75" customHeight="1" x14ac:dyDescent="0.25">
      <c r="A11" s="6">
        <v>7</v>
      </c>
      <c r="B11" s="6" t="s">
        <v>54</v>
      </c>
      <c r="C11" s="6">
        <v>0</v>
      </c>
      <c r="D11" s="11">
        <v>0.14199999999999999</v>
      </c>
      <c r="E11" s="6">
        <f t="shared" si="0"/>
        <v>0</v>
      </c>
      <c r="F11" s="11">
        <v>0.18</v>
      </c>
      <c r="G11" s="6">
        <f t="shared" si="1"/>
        <v>0</v>
      </c>
    </row>
    <row r="12" spans="1:7" ht="15.75" customHeight="1" x14ac:dyDescent="0.25">
      <c r="A12" s="6">
        <v>8</v>
      </c>
      <c r="B12" s="6" t="s">
        <v>55</v>
      </c>
      <c r="C12" s="6">
        <v>98</v>
      </c>
      <c r="D12" s="11">
        <v>0.14199999999999999</v>
      </c>
      <c r="E12" s="6">
        <f t="shared" si="0"/>
        <v>13.915999999999999</v>
      </c>
      <c r="F12" s="11">
        <v>0.18</v>
      </c>
      <c r="G12" s="6">
        <f t="shared" si="1"/>
        <v>17.64</v>
      </c>
    </row>
    <row r="13" spans="1:7" ht="15.75" customHeight="1" x14ac:dyDescent="0.25">
      <c r="A13" s="6">
        <v>9</v>
      </c>
      <c r="B13" s="6" t="s">
        <v>21</v>
      </c>
      <c r="C13" s="6">
        <v>2</v>
      </c>
      <c r="D13" s="11">
        <v>0.17199999999999999</v>
      </c>
      <c r="E13" s="6">
        <f t="shared" si="0"/>
        <v>0.34399999999999997</v>
      </c>
      <c r="F13" s="11">
        <v>0.188</v>
      </c>
      <c r="G13" s="6">
        <f t="shared" si="1"/>
        <v>0.376</v>
      </c>
    </row>
    <row r="14" spans="1:7" ht="15.75" customHeight="1" x14ac:dyDescent="0.25">
      <c r="A14" s="6">
        <v>10</v>
      </c>
      <c r="B14" s="6" t="s">
        <v>20</v>
      </c>
      <c r="C14" s="6">
        <v>41</v>
      </c>
      <c r="D14" s="11">
        <v>55</v>
      </c>
      <c r="E14" s="6">
        <f t="shared" si="0"/>
        <v>2255</v>
      </c>
      <c r="F14" s="11">
        <v>63</v>
      </c>
      <c r="G14" s="6">
        <f t="shared" si="1"/>
        <v>2583</v>
      </c>
    </row>
    <row r="15" spans="1:7" ht="15.75" customHeight="1" x14ac:dyDescent="0.25">
      <c r="A15" s="6">
        <v>11</v>
      </c>
      <c r="B15" s="6" t="s">
        <v>19</v>
      </c>
      <c r="C15" s="6">
        <v>163</v>
      </c>
      <c r="D15" s="11">
        <v>0.4</v>
      </c>
      <c r="E15" s="6">
        <f t="shared" si="0"/>
        <v>65.2</v>
      </c>
      <c r="F15" s="11">
        <v>0.4</v>
      </c>
      <c r="G15" s="6">
        <f t="shared" si="1"/>
        <v>65.2</v>
      </c>
    </row>
    <row r="16" spans="1:7" ht="15.75" customHeight="1" x14ac:dyDescent="0.25">
      <c r="A16" s="6">
        <v>12</v>
      </c>
      <c r="B16" s="6" t="s">
        <v>18</v>
      </c>
      <c r="C16" s="6">
        <v>64</v>
      </c>
      <c r="D16" s="11">
        <v>14</v>
      </c>
      <c r="E16" s="6">
        <f t="shared" si="0"/>
        <v>896</v>
      </c>
      <c r="F16" s="11">
        <v>14</v>
      </c>
      <c r="G16" s="6">
        <f t="shared" si="1"/>
        <v>896</v>
      </c>
    </row>
    <row r="17" spans="1:8" ht="15.75" customHeight="1" x14ac:dyDescent="0.25">
      <c r="A17" s="6">
        <v>13</v>
      </c>
      <c r="B17" s="6" t="s">
        <v>29</v>
      </c>
      <c r="C17" s="6">
        <v>116</v>
      </c>
      <c r="D17" s="6">
        <v>26</v>
      </c>
      <c r="E17" s="6">
        <f t="shared" si="0"/>
        <v>3016</v>
      </c>
      <c r="F17" s="6">
        <v>26</v>
      </c>
      <c r="G17" s="6">
        <f t="shared" si="1"/>
        <v>3016</v>
      </c>
    </row>
    <row r="18" spans="1:8" ht="15.75" customHeight="1" x14ac:dyDescent="0.25">
      <c r="A18" s="6">
        <v>14</v>
      </c>
      <c r="B18" s="6" t="s">
        <v>45</v>
      </c>
      <c r="C18" s="6">
        <v>0</v>
      </c>
      <c r="D18" s="6">
        <v>26</v>
      </c>
      <c r="E18" s="6">
        <f t="shared" si="0"/>
        <v>0</v>
      </c>
      <c r="F18" s="6">
        <v>26</v>
      </c>
      <c r="G18" s="6">
        <f t="shared" si="1"/>
        <v>0</v>
      </c>
    </row>
    <row r="19" spans="1:8" ht="15.75" customHeight="1" x14ac:dyDescent="0.25">
      <c r="A19" s="6">
        <v>15</v>
      </c>
      <c r="B19" s="6" t="s">
        <v>27</v>
      </c>
      <c r="C19" s="6"/>
      <c r="D19" s="6">
        <v>0</v>
      </c>
      <c r="E19" s="6">
        <f t="shared" si="0"/>
        <v>0</v>
      </c>
      <c r="F19" s="6">
        <v>75</v>
      </c>
      <c r="G19" s="6">
        <f t="shared" si="1"/>
        <v>0</v>
      </c>
    </row>
    <row r="20" spans="1:8" ht="15.75" customHeight="1" x14ac:dyDescent="0.25">
      <c r="A20" s="6">
        <v>16</v>
      </c>
      <c r="B20" s="6" t="s">
        <v>26</v>
      </c>
      <c r="C20" s="6"/>
      <c r="D20" s="6">
        <v>0</v>
      </c>
      <c r="E20" s="6">
        <f t="shared" si="0"/>
        <v>0</v>
      </c>
      <c r="F20" s="6">
        <v>25</v>
      </c>
      <c r="G20" s="6">
        <f t="shared" si="1"/>
        <v>0</v>
      </c>
    </row>
    <row r="21" spans="1:8" ht="15.75" customHeight="1" x14ac:dyDescent="0.25">
      <c r="A21" s="28" t="s">
        <v>62</v>
      </c>
      <c r="B21" s="13"/>
      <c r="C21" s="13"/>
      <c r="D21" s="14"/>
      <c r="E21" s="6">
        <f>SUM(E5:E20)</f>
        <v>25082.43</v>
      </c>
      <c r="F21" s="6"/>
      <c r="G21" s="6">
        <f>SUM(G5:G20)</f>
        <v>33837.456000000006</v>
      </c>
    </row>
    <row r="22" spans="1:8" ht="15.75" customHeight="1" x14ac:dyDescent="0.25">
      <c r="A22" s="28" t="s">
        <v>63</v>
      </c>
      <c r="B22" s="13"/>
      <c r="C22" s="13"/>
      <c r="D22" s="14"/>
      <c r="E22" s="9">
        <f>E21/1000</f>
        <v>25.082429999999999</v>
      </c>
      <c r="F22" s="6"/>
      <c r="G22" s="9">
        <f>G21/1000</f>
        <v>33.837456000000003</v>
      </c>
      <c r="H22" s="10">
        <f>G22/4.5</f>
        <v>7.5194346666666672</v>
      </c>
    </row>
    <row r="23" spans="1:8" ht="15.75" customHeight="1" x14ac:dyDescent="0.25">
      <c r="A23" s="27" t="s">
        <v>35</v>
      </c>
      <c r="B23" s="18"/>
      <c r="C23" s="18"/>
      <c r="D23" s="19"/>
      <c r="E23" s="29" t="s">
        <v>36</v>
      </c>
      <c r="F23" s="13"/>
      <c r="G23" s="14"/>
    </row>
    <row r="24" spans="1:8" ht="15.75" customHeight="1" x14ac:dyDescent="0.25">
      <c r="A24" s="20"/>
      <c r="B24" s="21"/>
      <c r="C24" s="21"/>
      <c r="D24" s="22"/>
      <c r="E24" s="29" t="s">
        <v>37</v>
      </c>
      <c r="F24" s="13"/>
      <c r="G24" s="14"/>
    </row>
    <row r="25" spans="1:8" ht="15.75" customHeight="1" x14ac:dyDescent="0.25">
      <c r="A25" s="16" t="s">
        <v>64</v>
      </c>
      <c r="B25" s="13"/>
      <c r="C25" s="13"/>
      <c r="D25" s="14"/>
      <c r="E25" s="15" t="s">
        <v>39</v>
      </c>
      <c r="F25" s="13"/>
      <c r="G25" s="14"/>
    </row>
    <row r="26" spans="1:8" ht="15.75" customHeight="1" x14ac:dyDescent="0.25"/>
    <row r="27" spans="1:8" ht="15.75" customHeight="1" x14ac:dyDescent="0.25">
      <c r="A27" s="26" t="s">
        <v>51</v>
      </c>
      <c r="B27" s="13"/>
      <c r="C27" s="13"/>
      <c r="D27" s="13"/>
      <c r="E27" s="13"/>
      <c r="F27" s="14"/>
      <c r="G27" s="9">
        <f>E22*1+G22*1</f>
        <v>58.919886000000005</v>
      </c>
    </row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A27:F27"/>
    <mergeCell ref="A1:G1"/>
    <mergeCell ref="A2:C3"/>
    <mergeCell ref="D2:G2"/>
    <mergeCell ref="D3:E3"/>
    <mergeCell ref="F3:G3"/>
    <mergeCell ref="A21:D21"/>
    <mergeCell ref="A22:D22"/>
    <mergeCell ref="A23:D24"/>
    <mergeCell ref="E23:G23"/>
    <mergeCell ref="E24:G24"/>
    <mergeCell ref="A25:D25"/>
    <mergeCell ref="E25:G25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H1000"/>
  <sheetViews>
    <sheetView topLeftCell="A7" workbookViewId="0">
      <selection activeCell="C19" sqref="C19"/>
    </sheetView>
  </sheetViews>
  <sheetFormatPr defaultColWidth="14.42578125" defaultRowHeight="15" customHeight="1" x14ac:dyDescent="0.25"/>
  <cols>
    <col min="1" max="1" width="4.140625" customWidth="1"/>
    <col min="2" max="2" width="18.140625" customWidth="1"/>
    <col min="3" max="3" width="7.5703125" customWidth="1"/>
    <col min="4" max="4" width="29.7109375" customWidth="1"/>
    <col min="5" max="5" width="27.42578125" customWidth="1"/>
    <col min="6" max="8" width="14.5703125" customWidth="1"/>
    <col min="9" max="26" width="12.5703125" customWidth="1"/>
  </cols>
  <sheetData>
    <row r="1" spans="1:7" ht="15.75" customHeight="1" x14ac:dyDescent="0.25">
      <c r="A1" s="23" t="s">
        <v>42</v>
      </c>
      <c r="B1" s="24"/>
      <c r="C1" s="24"/>
      <c r="D1" s="24"/>
      <c r="E1" s="24"/>
      <c r="F1" s="24"/>
      <c r="G1" s="25"/>
    </row>
    <row r="2" spans="1:7" ht="15.75" customHeight="1" x14ac:dyDescent="0.25">
      <c r="A2" s="27" t="s">
        <v>0</v>
      </c>
      <c r="B2" s="18"/>
      <c r="C2" s="19"/>
      <c r="D2" s="28" t="s">
        <v>1</v>
      </c>
      <c r="E2" s="13"/>
      <c r="F2" s="13"/>
      <c r="G2" s="14"/>
    </row>
    <row r="3" spans="1:7" ht="15.75" customHeight="1" x14ac:dyDescent="0.25">
      <c r="A3" s="20"/>
      <c r="B3" s="21"/>
      <c r="C3" s="22"/>
      <c r="D3" s="28" t="s">
        <v>2</v>
      </c>
      <c r="E3" s="14"/>
      <c r="F3" s="28" t="s">
        <v>3</v>
      </c>
      <c r="G3" s="14"/>
    </row>
    <row r="4" spans="1:7" ht="15.75" customHeight="1" x14ac:dyDescent="0.25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</row>
    <row r="5" spans="1:7" ht="15.75" customHeight="1" x14ac:dyDescent="0.25">
      <c r="A5" s="6">
        <v>1</v>
      </c>
      <c r="B5" s="2" t="s">
        <v>11</v>
      </c>
      <c r="C5" s="6">
        <v>1</v>
      </c>
      <c r="D5" s="2">
        <v>250</v>
      </c>
      <c r="E5" s="6">
        <f t="shared" ref="E5:E24" si="0">C5*D5</f>
        <v>250</v>
      </c>
      <c r="F5" s="6">
        <v>47.8</v>
      </c>
      <c r="G5" s="6">
        <f t="shared" ref="G5:G24" si="1">C5*F5</f>
        <v>47.8</v>
      </c>
    </row>
    <row r="6" spans="1:7" ht="15.75" customHeight="1" x14ac:dyDescent="0.25">
      <c r="A6" s="6">
        <v>2</v>
      </c>
      <c r="B6" s="6" t="s">
        <v>31</v>
      </c>
      <c r="C6" s="6"/>
      <c r="D6" s="7">
        <v>47</v>
      </c>
      <c r="E6" s="6">
        <f t="shared" si="0"/>
        <v>0</v>
      </c>
      <c r="F6" s="7">
        <v>47</v>
      </c>
      <c r="G6" s="6">
        <f t="shared" si="1"/>
        <v>0</v>
      </c>
    </row>
    <row r="7" spans="1:7" ht="15.75" customHeight="1" x14ac:dyDescent="0.25">
      <c r="A7" s="6">
        <v>3</v>
      </c>
      <c r="B7" s="6" t="s">
        <v>13</v>
      </c>
      <c r="C7" s="6">
        <v>5</v>
      </c>
      <c r="D7" s="6">
        <v>220</v>
      </c>
      <c r="E7" s="6">
        <f t="shared" si="0"/>
        <v>1100</v>
      </c>
      <c r="F7" s="6">
        <v>320</v>
      </c>
      <c r="G7" s="6">
        <f t="shared" si="1"/>
        <v>1600</v>
      </c>
    </row>
    <row r="8" spans="1:7" ht="15.75" customHeight="1" x14ac:dyDescent="0.25">
      <c r="A8" s="6">
        <v>4</v>
      </c>
      <c r="B8" s="6" t="s">
        <v>12</v>
      </c>
      <c r="C8" s="6">
        <v>95</v>
      </c>
      <c r="D8" s="6">
        <v>150</v>
      </c>
      <c r="E8" s="6">
        <f t="shared" si="0"/>
        <v>14250</v>
      </c>
      <c r="F8" s="6">
        <v>150</v>
      </c>
      <c r="G8" s="6">
        <f t="shared" si="1"/>
        <v>14250</v>
      </c>
    </row>
    <row r="9" spans="1:7" ht="15.75" customHeight="1" x14ac:dyDescent="0.25">
      <c r="A9" s="6">
        <v>5</v>
      </c>
      <c r="B9" s="6" t="s">
        <v>14</v>
      </c>
      <c r="C9" s="6">
        <v>3114</v>
      </c>
      <c r="D9" s="7">
        <v>0.17</v>
      </c>
      <c r="E9" s="6">
        <f t="shared" si="0"/>
        <v>529.38</v>
      </c>
      <c r="F9" s="7">
        <v>0.18</v>
      </c>
      <c r="G9" s="6">
        <f t="shared" si="1"/>
        <v>560.52</v>
      </c>
    </row>
    <row r="10" spans="1:7" ht="15.75" customHeight="1" x14ac:dyDescent="0.25">
      <c r="A10" s="6">
        <v>6</v>
      </c>
      <c r="B10" s="6" t="s">
        <v>43</v>
      </c>
      <c r="C10" s="6"/>
      <c r="D10" s="6">
        <v>0.15</v>
      </c>
      <c r="E10" s="6">
        <f t="shared" si="0"/>
        <v>0</v>
      </c>
      <c r="F10" s="6">
        <v>0.16</v>
      </c>
      <c r="G10" s="6">
        <f t="shared" si="1"/>
        <v>0</v>
      </c>
    </row>
    <row r="11" spans="1:7" ht="15.75" customHeight="1" x14ac:dyDescent="0.25">
      <c r="A11" s="6">
        <v>7</v>
      </c>
      <c r="B11" s="6" t="s">
        <v>15</v>
      </c>
      <c r="C11" s="6">
        <v>225</v>
      </c>
      <c r="D11" s="7">
        <v>0.16</v>
      </c>
      <c r="E11" s="6">
        <f t="shared" si="0"/>
        <v>36</v>
      </c>
      <c r="F11" s="7">
        <v>0.2</v>
      </c>
      <c r="G11" s="6">
        <f t="shared" si="1"/>
        <v>45</v>
      </c>
    </row>
    <row r="12" spans="1:7" ht="15.75" customHeight="1" x14ac:dyDescent="0.25">
      <c r="A12" s="6">
        <v>8</v>
      </c>
      <c r="B12" s="6" t="s">
        <v>16</v>
      </c>
      <c r="C12" s="6">
        <v>187</v>
      </c>
      <c r="D12" s="7">
        <v>0.16</v>
      </c>
      <c r="E12" s="6">
        <f t="shared" si="0"/>
        <v>29.92</v>
      </c>
      <c r="F12" s="7">
        <v>0.2</v>
      </c>
      <c r="G12" s="6">
        <f t="shared" si="1"/>
        <v>37.4</v>
      </c>
    </row>
    <row r="13" spans="1:7" ht="15.75" customHeight="1" x14ac:dyDescent="0.25">
      <c r="A13" s="6">
        <v>9</v>
      </c>
      <c r="B13" s="6" t="s">
        <v>17</v>
      </c>
      <c r="C13" s="6">
        <v>170</v>
      </c>
      <c r="D13" s="7">
        <v>0.16</v>
      </c>
      <c r="E13" s="6">
        <f t="shared" si="0"/>
        <v>27.2</v>
      </c>
      <c r="F13" s="7">
        <v>0.2</v>
      </c>
      <c r="G13" s="6">
        <f t="shared" si="1"/>
        <v>34</v>
      </c>
    </row>
    <row r="14" spans="1:7" ht="15.75" customHeight="1" x14ac:dyDescent="0.25">
      <c r="A14" s="6">
        <v>10</v>
      </c>
      <c r="B14" s="6" t="s">
        <v>21</v>
      </c>
      <c r="C14" s="6">
        <v>879</v>
      </c>
      <c r="D14" s="7">
        <v>0.17</v>
      </c>
      <c r="E14" s="6">
        <f t="shared" si="0"/>
        <v>149.43</v>
      </c>
      <c r="F14" s="7">
        <v>0.18</v>
      </c>
      <c r="G14" s="6">
        <f t="shared" si="1"/>
        <v>158.22</v>
      </c>
    </row>
    <row r="15" spans="1:7" ht="15.75" customHeight="1" x14ac:dyDescent="0.25">
      <c r="A15" s="6">
        <v>11</v>
      </c>
      <c r="B15" s="6" t="s">
        <v>20</v>
      </c>
      <c r="C15" s="6">
        <v>81</v>
      </c>
      <c r="D15" s="7">
        <v>50</v>
      </c>
      <c r="E15" s="6">
        <f t="shared" si="0"/>
        <v>4050</v>
      </c>
      <c r="F15" s="7">
        <v>50</v>
      </c>
      <c r="G15" s="6">
        <f t="shared" si="1"/>
        <v>4050</v>
      </c>
    </row>
    <row r="16" spans="1:7" ht="15.75" customHeight="1" x14ac:dyDescent="0.25">
      <c r="A16" s="6">
        <v>12</v>
      </c>
      <c r="B16" s="6" t="s">
        <v>19</v>
      </c>
      <c r="C16" s="6">
        <v>517</v>
      </c>
      <c r="D16" s="7">
        <v>0.4</v>
      </c>
      <c r="E16" s="6">
        <f t="shared" si="0"/>
        <v>206.8</v>
      </c>
      <c r="F16" s="7">
        <v>0.4</v>
      </c>
      <c r="G16" s="6">
        <f t="shared" si="1"/>
        <v>206.8</v>
      </c>
    </row>
    <row r="17" spans="1:8" ht="15.75" customHeight="1" x14ac:dyDescent="0.25">
      <c r="A17" s="6">
        <v>13</v>
      </c>
      <c r="B17" s="8" t="s">
        <v>22</v>
      </c>
      <c r="C17" s="6">
        <v>203</v>
      </c>
      <c r="D17" s="8">
        <v>0.18</v>
      </c>
      <c r="E17" s="6">
        <f t="shared" si="0"/>
        <v>36.54</v>
      </c>
      <c r="F17" s="8">
        <v>0.18</v>
      </c>
      <c r="G17" s="6">
        <f t="shared" si="1"/>
        <v>36.54</v>
      </c>
    </row>
    <row r="18" spans="1:8" ht="15.75" customHeight="1" x14ac:dyDescent="0.25">
      <c r="A18" s="6">
        <v>14</v>
      </c>
      <c r="B18" s="8" t="s">
        <v>23</v>
      </c>
      <c r="C18" s="6">
        <v>3</v>
      </c>
      <c r="D18" s="8">
        <v>0.38</v>
      </c>
      <c r="E18" s="6">
        <f t="shared" si="0"/>
        <v>1.1400000000000001</v>
      </c>
      <c r="F18" s="8">
        <v>0.38</v>
      </c>
      <c r="G18" s="6">
        <f t="shared" si="1"/>
        <v>1.1400000000000001</v>
      </c>
    </row>
    <row r="19" spans="1:8" ht="15.75" customHeight="1" x14ac:dyDescent="0.25">
      <c r="A19" s="6">
        <v>15</v>
      </c>
      <c r="B19" s="6" t="s">
        <v>18</v>
      </c>
      <c r="C19" s="6">
        <v>21</v>
      </c>
      <c r="D19" s="6">
        <v>14</v>
      </c>
      <c r="E19" s="6">
        <f t="shared" si="0"/>
        <v>294</v>
      </c>
      <c r="F19" s="6">
        <v>14</v>
      </c>
      <c r="G19" s="6">
        <f t="shared" si="1"/>
        <v>294</v>
      </c>
    </row>
    <row r="20" spans="1:8" ht="15.75" customHeight="1" x14ac:dyDescent="0.25">
      <c r="A20" s="6">
        <v>16</v>
      </c>
      <c r="B20" s="6" t="s">
        <v>44</v>
      </c>
      <c r="C20" s="6"/>
      <c r="D20" s="6">
        <v>10</v>
      </c>
      <c r="E20" s="6">
        <f t="shared" si="0"/>
        <v>0</v>
      </c>
      <c r="F20" s="6">
        <v>10</v>
      </c>
      <c r="G20" s="6">
        <f t="shared" si="1"/>
        <v>0</v>
      </c>
    </row>
    <row r="21" spans="1:8" ht="15.75" customHeight="1" x14ac:dyDescent="0.25">
      <c r="A21" s="6">
        <v>17</v>
      </c>
      <c r="B21" s="6" t="s">
        <v>29</v>
      </c>
      <c r="C21" s="6">
        <v>31</v>
      </c>
      <c r="D21" s="6">
        <v>26</v>
      </c>
      <c r="E21" s="6">
        <f t="shared" si="0"/>
        <v>806</v>
      </c>
      <c r="F21" s="6">
        <v>26</v>
      </c>
      <c r="G21" s="6">
        <f t="shared" si="1"/>
        <v>806</v>
      </c>
    </row>
    <row r="22" spans="1:8" ht="15.75" customHeight="1" x14ac:dyDescent="0.25">
      <c r="A22" s="6">
        <v>18</v>
      </c>
      <c r="B22" s="6" t="s">
        <v>45</v>
      </c>
      <c r="C22" s="6"/>
      <c r="D22" s="6">
        <v>26</v>
      </c>
      <c r="E22" s="6">
        <f t="shared" si="0"/>
        <v>0</v>
      </c>
      <c r="F22" s="6">
        <v>26</v>
      </c>
      <c r="G22" s="6">
        <f t="shared" si="1"/>
        <v>0</v>
      </c>
    </row>
    <row r="23" spans="1:8" ht="15.75" customHeight="1" x14ac:dyDescent="0.25">
      <c r="A23" s="6">
        <v>19</v>
      </c>
      <c r="B23" s="6" t="s">
        <v>27</v>
      </c>
      <c r="C23" s="6">
        <v>3</v>
      </c>
      <c r="D23" s="6">
        <v>0</v>
      </c>
      <c r="E23" s="6">
        <f t="shared" si="0"/>
        <v>0</v>
      </c>
      <c r="F23" s="6">
        <v>75</v>
      </c>
      <c r="G23" s="6">
        <f t="shared" si="1"/>
        <v>225</v>
      </c>
    </row>
    <row r="24" spans="1:8" ht="15.75" customHeight="1" x14ac:dyDescent="0.25">
      <c r="A24" s="6">
        <v>20</v>
      </c>
      <c r="B24" s="6" t="s">
        <v>26</v>
      </c>
      <c r="C24" s="6">
        <v>70</v>
      </c>
      <c r="D24" s="6">
        <v>0</v>
      </c>
      <c r="E24" s="6">
        <f t="shared" si="0"/>
        <v>0</v>
      </c>
      <c r="F24" s="6">
        <v>25</v>
      </c>
      <c r="G24" s="6">
        <f t="shared" si="1"/>
        <v>1750</v>
      </c>
    </row>
    <row r="25" spans="1:8" ht="15.75" customHeight="1" x14ac:dyDescent="0.25">
      <c r="A25" s="28" t="s">
        <v>65</v>
      </c>
      <c r="B25" s="13"/>
      <c r="C25" s="13"/>
      <c r="D25" s="14"/>
      <c r="E25" s="6">
        <f>SUM(E5:E24)</f>
        <v>21766.41</v>
      </c>
      <c r="F25" s="6"/>
      <c r="G25" s="6">
        <f>SUM(G5:G24)</f>
        <v>24102.420000000002</v>
      </c>
    </row>
    <row r="26" spans="1:8" ht="15.75" customHeight="1" x14ac:dyDescent="0.25">
      <c r="A26" s="28" t="s">
        <v>66</v>
      </c>
      <c r="B26" s="13"/>
      <c r="C26" s="13"/>
      <c r="D26" s="14"/>
      <c r="E26" s="9">
        <f>E25/1000</f>
        <v>21.76641</v>
      </c>
      <c r="F26" s="6"/>
      <c r="G26" s="9">
        <f>G25/1000</f>
        <v>24.102420000000002</v>
      </c>
      <c r="H26" s="10">
        <f>G26/4.5</f>
        <v>5.3560933333333338</v>
      </c>
    </row>
    <row r="27" spans="1:8" ht="15.75" customHeight="1" x14ac:dyDescent="0.25">
      <c r="A27" s="27" t="s">
        <v>35</v>
      </c>
      <c r="B27" s="18"/>
      <c r="C27" s="18"/>
      <c r="D27" s="19"/>
      <c r="E27" s="29" t="s">
        <v>36</v>
      </c>
      <c r="F27" s="13"/>
      <c r="G27" s="14"/>
    </row>
    <row r="28" spans="1:8" ht="15.75" customHeight="1" x14ac:dyDescent="0.25">
      <c r="A28" s="20"/>
      <c r="B28" s="21"/>
      <c r="C28" s="21"/>
      <c r="D28" s="22"/>
      <c r="E28" s="29" t="s">
        <v>48</v>
      </c>
      <c r="F28" s="13"/>
      <c r="G28" s="14"/>
    </row>
    <row r="29" spans="1:8" ht="15.75" customHeight="1" x14ac:dyDescent="0.25">
      <c r="A29" s="16" t="s">
        <v>67</v>
      </c>
      <c r="B29" s="13"/>
      <c r="C29" s="13"/>
      <c r="D29" s="14"/>
      <c r="E29" s="15" t="s">
        <v>50</v>
      </c>
      <c r="F29" s="13"/>
      <c r="G29" s="14"/>
    </row>
    <row r="30" spans="1:8" ht="15.75" customHeight="1" x14ac:dyDescent="0.25"/>
    <row r="31" spans="1:8" ht="15.75" customHeight="1" x14ac:dyDescent="0.25">
      <c r="A31" s="26" t="s">
        <v>51</v>
      </c>
      <c r="B31" s="13"/>
      <c r="C31" s="13"/>
      <c r="D31" s="13"/>
      <c r="E31" s="13"/>
      <c r="F31" s="14"/>
      <c r="G31" s="9">
        <f>E26*1+G26*1</f>
        <v>45.868830000000003</v>
      </c>
    </row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A31:F31"/>
    <mergeCell ref="A1:G1"/>
    <mergeCell ref="A2:C3"/>
    <mergeCell ref="D2:G2"/>
    <mergeCell ref="D3:E3"/>
    <mergeCell ref="F3:G3"/>
    <mergeCell ref="A25:D25"/>
    <mergeCell ref="A26:D26"/>
    <mergeCell ref="A27:D28"/>
    <mergeCell ref="E27:G27"/>
    <mergeCell ref="E28:G28"/>
    <mergeCell ref="A29:D29"/>
    <mergeCell ref="E29:G29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Расчет АКБ_Пр</vt:lpstr>
      <vt:lpstr>Расчет АКБ (АПС 2.0)_Пр</vt:lpstr>
      <vt:lpstr>Расчет АКБ_Ра</vt:lpstr>
      <vt:lpstr>Расчет АКБ (АПС 2.0)_Ра</vt:lpstr>
      <vt:lpstr>Расчет АКБ_Гиб</vt:lpstr>
      <vt:lpstr>Расчет АКБ (АПС 2.0)_Гиб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Остапенко Мария Александровна</dc:creator>
  <cp:lastModifiedBy>Екатерина</cp:lastModifiedBy>
  <dcterms:created xsi:type="dcterms:W3CDTF">2015-03-02T08:47:24Z</dcterms:created>
  <dcterms:modified xsi:type="dcterms:W3CDTF">2025-05-13T14:14:02Z</dcterms:modified>
</cp:coreProperties>
</file>